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
    </mc:Choice>
  </mc:AlternateContent>
  <xr:revisionPtr revIDLastSave="0" documentId="8_{53E73FE8-EEA6-4C5A-BDE8-7215349A8633}" xr6:coauthVersionLast="47" xr6:coauthVersionMax="47" xr10:uidLastSave="{00000000-0000-0000-0000-000000000000}"/>
  <bookViews>
    <workbookView xWindow="-116" yWindow="-116" windowWidth="24917" windowHeight="14117" tabRatio="500" activeTab="2" xr2:uid="{00000000-000D-0000-FFFF-FFFF00000000}"/>
  </bookViews>
  <sheets>
    <sheet name="Metrics" sheetId="1" r:id="rId1"/>
    <sheet name="Module Summary" sheetId="2" r:id="rId2"/>
    <sheet name="Test Cases" sheetId="3" r:id="rId3"/>
    <sheet name="Requirements" sheetId="4" r:id="rId4"/>
    <sheet name="Defects" sheetId="5" r:id="rId5"/>
    <sheet name="Response Times" sheetId="6" r:id="rId6"/>
  </sheets>
  <definedNames>
    <definedName name="_xlnm._FilterDatabase" localSheetId="2" hidden="1">'Test Cases'!$A$1:$H$174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5" l="1"/>
  <c r="C8" i="5"/>
  <c r="C7" i="5"/>
  <c r="C6" i="5"/>
  <c r="C5" i="5"/>
  <c r="C4" i="5"/>
  <c r="C3" i="5"/>
  <c r="C2" i="5"/>
  <c r="C10" i="5" s="1"/>
  <c r="F15" i="4"/>
  <c r="G15" i="4" s="1"/>
  <c r="E15" i="4"/>
  <c r="F14" i="4"/>
  <c r="G14" i="4" s="1"/>
  <c r="E14" i="4"/>
  <c r="F13" i="4"/>
  <c r="G13" i="4" s="1"/>
  <c r="E13" i="4"/>
  <c r="F12" i="4"/>
  <c r="G12" i="4" s="1"/>
  <c r="E12" i="4"/>
  <c r="F11" i="4"/>
  <c r="G11" i="4" s="1"/>
  <c r="E11" i="4"/>
  <c r="F10" i="4"/>
  <c r="G10" i="4" s="1"/>
  <c r="E10" i="4"/>
  <c r="F9" i="4"/>
  <c r="G9" i="4" s="1"/>
  <c r="E9" i="4"/>
  <c r="F8" i="4"/>
  <c r="G8" i="4" s="1"/>
  <c r="E8" i="4"/>
  <c r="F7" i="4"/>
  <c r="G7" i="4" s="1"/>
  <c r="E7" i="4"/>
  <c r="F6" i="4"/>
  <c r="G6" i="4" s="1"/>
  <c r="E6" i="4"/>
  <c r="F5" i="4"/>
  <c r="G5" i="4" s="1"/>
  <c r="E5" i="4"/>
  <c r="F4" i="4"/>
  <c r="G4" i="4" s="1"/>
  <c r="E4" i="4"/>
  <c r="F3" i="4"/>
  <c r="G3" i="4" s="1"/>
  <c r="E3" i="4"/>
  <c r="F2" i="4"/>
  <c r="G2" i="4" s="1"/>
  <c r="C10" i="1" s="1"/>
  <c r="E2" i="4"/>
  <c r="D13" i="2"/>
  <c r="C13" i="2"/>
  <c r="F13" i="2" s="1"/>
  <c r="B13" i="2"/>
  <c r="E13" i="2" s="1"/>
  <c r="D12" i="2"/>
  <c r="C12" i="2"/>
  <c r="F12" i="2" s="1"/>
  <c r="B12" i="2"/>
  <c r="E12" i="2" s="1"/>
  <c r="D11" i="2"/>
  <c r="C11" i="2"/>
  <c r="F11" i="2" s="1"/>
  <c r="B11" i="2"/>
  <c r="E11" i="2" s="1"/>
  <c r="D10" i="2"/>
  <c r="C10" i="2"/>
  <c r="F10" i="2" s="1"/>
  <c r="B10" i="2"/>
  <c r="E10" i="2" s="1"/>
  <c r="D9" i="2"/>
  <c r="C9" i="2"/>
  <c r="F9" i="2" s="1"/>
  <c r="B9" i="2"/>
  <c r="E9" i="2" s="1"/>
  <c r="D8" i="2"/>
  <c r="C8" i="2"/>
  <c r="F8" i="2" s="1"/>
  <c r="B8" i="2"/>
  <c r="E8" i="2" s="1"/>
  <c r="D7" i="2"/>
  <c r="C7" i="2"/>
  <c r="F7" i="2" s="1"/>
  <c r="B7" i="2"/>
  <c r="E7" i="2" s="1"/>
  <c r="D6" i="2"/>
  <c r="C6" i="2"/>
  <c r="F6" i="2" s="1"/>
  <c r="B6" i="2"/>
  <c r="E6" i="2" s="1"/>
  <c r="D5" i="2"/>
  <c r="C5" i="2"/>
  <c r="F5" i="2" s="1"/>
  <c r="B5" i="2"/>
  <c r="E5" i="2" s="1"/>
  <c r="F4" i="2"/>
  <c r="E4" i="2"/>
  <c r="D4" i="2"/>
  <c r="C4" i="2"/>
  <c r="B4" i="2"/>
  <c r="D3" i="2"/>
  <c r="C3" i="2"/>
  <c r="F3" i="2" s="1"/>
  <c r="B3" i="2"/>
  <c r="E3" i="2" s="1"/>
  <c r="D2" i="2"/>
  <c r="D14" i="2" s="1"/>
  <c r="C2" i="2"/>
  <c r="B2" i="2"/>
  <c r="B42" i="1"/>
  <c r="C26" i="1"/>
  <c r="C25" i="1"/>
  <c r="C24" i="1"/>
  <c r="B41" i="1" s="1"/>
  <c r="C23" i="1"/>
  <c r="B40" i="1" s="1"/>
  <c r="C22" i="1"/>
  <c r="B39" i="1" s="1"/>
  <c r="C18" i="1"/>
  <c r="E16" i="1"/>
  <c r="D16" i="1"/>
  <c r="D15" i="1"/>
  <c r="E15" i="1" s="1"/>
  <c r="C15" i="1"/>
  <c r="C14" i="1"/>
  <c r="C13" i="1"/>
  <c r="C12" i="1"/>
  <c r="D11" i="1"/>
  <c r="E11" i="1" s="1"/>
  <c r="B31" i="1" s="1"/>
  <c r="C11" i="1"/>
  <c r="D10" i="1"/>
  <c r="B6" i="1"/>
  <c r="D14" i="1" s="1"/>
  <c r="E14" i="1" s="1"/>
  <c r="B35" i="1" s="1"/>
  <c r="C14" i="2" l="1"/>
  <c r="F14" i="2" s="1"/>
  <c r="F2" i="2"/>
  <c r="B14" i="2"/>
  <c r="E2" i="2"/>
  <c r="E14" i="2" s="1"/>
  <c r="B37" i="1"/>
  <c r="D17" i="1"/>
  <c r="B36" i="1"/>
  <c r="C17" i="1"/>
  <c r="E17" i="1" s="1"/>
  <c r="B34" i="1"/>
  <c r="D26" i="1"/>
  <c r="D25" i="1"/>
  <c r="D24" i="1"/>
  <c r="D23" i="1"/>
  <c r="D22" i="1"/>
  <c r="D18" i="1"/>
  <c r="E18" i="1" s="1"/>
  <c r="B38" i="1" s="1"/>
  <c r="D13" i="1"/>
  <c r="E13" i="1" s="1"/>
  <c r="B33" i="1" s="1"/>
  <c r="D12" i="1"/>
  <c r="E12" i="1" s="1"/>
  <c r="B32" i="1" s="1"/>
  <c r="E10" i="1"/>
  <c r="E25" i="1" l="1"/>
  <c r="B25" i="1"/>
  <c r="E24" i="1"/>
  <c r="F22" i="1" s="1"/>
  <c r="B24" i="1"/>
  <c r="E23" i="1"/>
  <c r="B23" i="1"/>
  <c r="E22" i="1"/>
  <c r="B22" i="1"/>
  <c r="B30" i="1"/>
  <c r="A45" i="1"/>
  <c r="E26" i="1" l="1"/>
</calcChain>
</file>

<file path=xl/sharedStrings.xml><?xml version="1.0" encoding="utf-8"?>
<sst xmlns="http://schemas.openxmlformats.org/spreadsheetml/2006/main" count="1440" uniqueCount="661">
  <si>
    <t>E-Commerce Website - Manual Testing and Test Metrics Analysis</t>
  </si>
  <si>
    <t>All results are formulas driven by the Test Cases, Requirements, Defects and Response Times sheets. Blue = editable input.</t>
  </si>
  <si>
    <t>Input</t>
  </si>
  <si>
    <t>Software size (LOC)</t>
  </si>
  <si>
    <t>Assumption from the problem statement: 20,000 lines of code.</t>
  </si>
  <si>
    <t>KLOC</t>
  </si>
  <si>
    <t>Metrics and evaluations</t>
  </si>
  <si>
    <t>Metric</t>
  </si>
  <si>
    <t>Formula</t>
  </si>
  <si>
    <t>Value 1</t>
  </si>
  <si>
    <t>Value 2</t>
  </si>
  <si>
    <t>Result</t>
  </si>
  <si>
    <t>Evaluation</t>
  </si>
  <si>
    <t>1. Test Coverage</t>
  </si>
  <si>
    <t>(Requirements tested / Total requirements) x 100</t>
  </si>
  <si>
    <t>All requirements have been covered by at least one test case.</t>
  </si>
  <si>
    <t>2. Test Execution %</t>
  </si>
  <si>
    <t>(Executed / Total test cases) x 100</t>
  </si>
  <si>
    <t>All planned test cases were executed.</t>
  </si>
  <si>
    <t>3. Pass Rate</t>
  </si>
  <si>
    <t>(Passed / Executed) x 100</t>
  </si>
  <si>
    <t>Most test cases passed successfully.</t>
  </si>
  <si>
    <t>4. Fail Rate</t>
  </si>
  <si>
    <t>(Failed / Executed) x 100</t>
  </si>
  <si>
    <t>Failed test cases need defect analysis and retesting.</t>
  </si>
  <si>
    <t>5. Defect Density</t>
  </si>
  <si>
    <t>Unique defects / KLOC</t>
  </si>
  <si>
    <t>Failed test cases do not equal defects: several failures can share one defect (10 failed cases -&gt; 8 unique defects).</t>
  </si>
  <si>
    <t>6. Mean (page loading)</t>
  </si>
  <si>
    <t>Sum of values / Number of values</t>
  </si>
  <si>
    <t>The average page-loading time.</t>
  </si>
  <si>
    <t>7. Median (page loading)</t>
  </si>
  <si>
    <t>Middle value of sorted data</t>
  </si>
  <si>
    <t>Sorted: 2, 3, 3, 4, 8</t>
  </si>
  <si>
    <t>The typical page-loading time.</t>
  </si>
  <si>
    <t>8. Mean vs Median</t>
  </si>
  <si>
    <t>Mean - Median</t>
  </si>
  <si>
    <t>Mean is higher because the 8-second value increases the average; investigate it as a possible performance issue.</t>
  </si>
  <si>
    <t>9. Critical Defect %</t>
  </si>
  <si>
    <t>(Critical defects / Total defects) x 100</t>
  </si>
  <si>
    <t>Critical defects must be addressed with high priority before release.</t>
  </si>
  <si>
    <t>10. Defect Distribution</t>
  </si>
  <si>
    <t>Severity</t>
  </si>
  <si>
    <t>Calculation</t>
  </si>
  <si>
    <t>Defects</t>
  </si>
  <si>
    <t>Total defects</t>
  </si>
  <si>
    <t>Distribution</t>
  </si>
  <si>
    <t>Critical</t>
  </si>
  <si>
    <t>High</t>
  </si>
  <si>
    <t>Medium</t>
  </si>
  <si>
    <t>Low</t>
  </si>
  <si>
    <t>Total</t>
  </si>
  <si>
    <t>11. Final Metrics Summary</t>
  </si>
  <si>
    <t>Test Coverage</t>
  </si>
  <si>
    <t>Test Execution %</t>
  </si>
  <si>
    <t>Pass Rate</t>
  </si>
  <si>
    <t>Fail Rate</t>
  </si>
  <si>
    <t>Unique Defects</t>
  </si>
  <si>
    <t>Defect Density</t>
  </si>
  <si>
    <t>Mean Page Loading Time</t>
  </si>
  <si>
    <t>Median Page Loading Time</t>
  </si>
  <si>
    <t>Critical Defect %</t>
  </si>
  <si>
    <t>Critical Defects</t>
  </si>
  <si>
    <t>High Defects</t>
  </si>
  <si>
    <t>Medium Defects</t>
  </si>
  <si>
    <t>Low Defects</t>
  </si>
  <si>
    <t>Final Evaluation</t>
  </si>
  <si>
    <t>Module</t>
  </si>
  <si>
    <t>Total TCs</t>
  </si>
  <si>
    <t>Passed</t>
  </si>
  <si>
    <t>Failed</t>
  </si>
  <si>
    <t>Not Run / Blocked</t>
  </si>
  <si>
    <t>Pass % (of executed)</t>
  </si>
  <si>
    <t>Registration</t>
  </si>
  <si>
    <t>Login</t>
  </si>
  <si>
    <t>Home Page</t>
  </si>
  <si>
    <t>Product Search</t>
  </si>
  <si>
    <t>Product Details</t>
  </si>
  <si>
    <t>Filter &amp; Sort</t>
  </si>
  <si>
    <t>Cart</t>
  </si>
  <si>
    <t>Wishlist</t>
  </si>
  <si>
    <t>Checkout</t>
  </si>
  <si>
    <t>Payment</t>
  </si>
  <si>
    <t>Order</t>
  </si>
  <si>
    <t>Profile</t>
  </si>
  <si>
    <t>Use the Failed column to see where failures concentrate and which modules need extra testing and regression.</t>
  </si>
  <si>
    <t>TC ID</t>
  </si>
  <si>
    <t>Req ID</t>
  </si>
  <si>
    <t>Test Case</t>
  </si>
  <si>
    <t>Expected Result</t>
  </si>
  <si>
    <t>Actual Result</t>
  </si>
  <si>
    <t>Status</t>
  </si>
  <si>
    <t>Defect ID</t>
  </si>
  <si>
    <t>REG-01</t>
  </si>
  <si>
    <t>R01</t>
  </si>
  <si>
    <t>Register with valid details</t>
  </si>
  <si>
    <t>Account created</t>
  </si>
  <si>
    <t>As expected</t>
  </si>
  <si>
    <t>Pass</t>
  </si>
  <si>
    <t>REG-02</t>
  </si>
  <si>
    <t>Leave name blank</t>
  </si>
  <si>
    <t>Validation displayed</t>
  </si>
  <si>
    <t>REG-03</t>
  </si>
  <si>
    <t>Leave email blank</t>
  </si>
  <si>
    <t>REG-04</t>
  </si>
  <si>
    <t>Leave password blank</t>
  </si>
  <si>
    <t>REG-05</t>
  </si>
  <si>
    <t>Enter invalid email</t>
  </si>
  <si>
    <t>Email validation displayed</t>
  </si>
  <si>
    <t>REG-06</t>
  </si>
  <si>
    <t>Enter existing email</t>
  </si>
  <si>
    <t>Account creation rejected</t>
  </si>
  <si>
    <t>REG-07</t>
  </si>
  <si>
    <t>Enter password below minimum length</t>
  </si>
  <si>
    <t>REG-08</t>
  </si>
  <si>
    <t>Enter valid strong password</t>
  </si>
  <si>
    <t>Password accepted</t>
  </si>
  <si>
    <t>REG-09</t>
  </si>
  <si>
    <t>Enter mismatched confirm password</t>
  </si>
  <si>
    <t>Error displayed</t>
  </si>
  <si>
    <t>REG-10</t>
  </si>
  <si>
    <t>Enter valid matching passwords</t>
  </si>
  <si>
    <t>Registration succeeds</t>
  </si>
  <si>
    <t>REG-11</t>
  </si>
  <si>
    <t>Enter alphabets in phone field</t>
  </si>
  <si>
    <t>Invalid input rejected</t>
  </si>
  <si>
    <t>REG-12</t>
  </si>
  <si>
    <t>Enter invalid phone number</t>
  </si>
  <si>
    <t>REG-13</t>
  </si>
  <si>
    <t>Enter valid phone number</t>
  </si>
  <si>
    <t>Phone accepted</t>
  </si>
  <si>
    <t>REG-14</t>
  </si>
  <si>
    <t>Submit form with all fields empty</t>
  </si>
  <si>
    <t>Required-field messages displayed</t>
  </si>
  <si>
    <t>REG-15</t>
  </si>
  <si>
    <t>Click Terms and Conditions</t>
  </si>
  <si>
    <t>Terms page opens</t>
  </si>
  <si>
    <t>REG-16</t>
  </si>
  <si>
    <t>Register without accepting required terms</t>
  </si>
  <si>
    <t>Registration blocked</t>
  </si>
  <si>
    <t>REG-17</t>
  </si>
  <si>
    <t>Refresh registration page</t>
  </si>
  <si>
    <t>Page loads correctly</t>
  </si>
  <si>
    <t>REG-18</t>
  </si>
  <si>
    <t>Press Back after registration</t>
  </si>
  <si>
    <t>Navigation behaves correctly</t>
  </si>
  <si>
    <t>LOG-01</t>
  </si>
  <si>
    <t>R02</t>
  </si>
  <si>
    <t>Login with valid username/password</t>
  </si>
  <si>
    <t>Login successful</t>
  </si>
  <si>
    <t>LOG-02</t>
  </si>
  <si>
    <t>Wrong password</t>
  </si>
  <si>
    <t>LOG-03</t>
  </si>
  <si>
    <t>Wrong username</t>
  </si>
  <si>
    <t>LOG-04</t>
  </si>
  <si>
    <t>Both fields empty</t>
  </si>
  <si>
    <t>LOG-05</t>
  </si>
  <si>
    <t>Username empty</t>
  </si>
  <si>
    <t>LOG-06</t>
  </si>
  <si>
    <t>Password empty</t>
  </si>
  <si>
    <t>LOG-07</t>
  </si>
  <si>
    <t>Password masking</t>
  </si>
  <si>
    <t>Password hidden</t>
  </si>
  <si>
    <t>LOG-08</t>
  </si>
  <si>
    <t>Show/hide password</t>
  </si>
  <si>
    <t>Password visibility changes</t>
  </si>
  <si>
    <t>LOG-09</t>
  </si>
  <si>
    <t>Remember Me</t>
  </si>
  <si>
    <t>User remains logged in as specified</t>
  </si>
  <si>
    <t>LOG-10</t>
  </si>
  <si>
    <t>Forgot Password</t>
  </si>
  <si>
    <t>Reset page opens</t>
  </si>
  <si>
    <t>LOG-11</t>
  </si>
  <si>
    <t>Invalid email in Forgot Password</t>
  </si>
  <si>
    <t>LOG-12</t>
  </si>
  <si>
    <t>Valid email for password reset</t>
  </si>
  <si>
    <t>Reset process initiated</t>
  </si>
  <si>
    <t>LOG-13</t>
  </si>
  <si>
    <t>Multiple wrong passwords</t>
  </si>
  <si>
    <t>Account lock/rate limit works if required</t>
  </si>
  <si>
    <t>LOG-14</t>
  </si>
  <si>
    <t>Logout</t>
  </si>
  <si>
    <t>User logged out</t>
  </si>
  <si>
    <t>LOG-15</t>
  </si>
  <si>
    <t>Access protected page after logout</t>
  </si>
  <si>
    <t>User redirected to login</t>
  </si>
  <si>
    <t>HOME-01</t>
  </si>
  <si>
    <t>R03</t>
  </si>
  <si>
    <t>Open website</t>
  </si>
  <si>
    <t>Home page loads</t>
  </si>
  <si>
    <t>HOME-02</t>
  </si>
  <si>
    <t>Verify website logo</t>
  </si>
  <si>
    <t>Logo displayed correctly</t>
  </si>
  <si>
    <t>HOME-03</t>
  </si>
  <si>
    <t>Click logo</t>
  </si>
  <si>
    <t>Home page opens</t>
  </si>
  <si>
    <t>HOME-04</t>
  </si>
  <si>
    <t>Verify navigation menu</t>
  </si>
  <si>
    <t>Menu displayed</t>
  </si>
  <si>
    <t>HOME-05</t>
  </si>
  <si>
    <t>Click each menu item</t>
  </si>
  <si>
    <t>Correct page opens</t>
  </si>
  <si>
    <t>HOME-06</t>
  </si>
  <si>
    <t>Verify search bar</t>
  </si>
  <si>
    <t>Search bar displayed</t>
  </si>
  <si>
    <t>HOME-07</t>
  </si>
  <si>
    <t>Verify cart icon</t>
  </si>
  <si>
    <t>Cart icon displayed</t>
  </si>
  <si>
    <t>HOME-08</t>
  </si>
  <si>
    <t>Verify wishlist icon</t>
  </si>
  <si>
    <t>Wishlist opens</t>
  </si>
  <si>
    <t>HOME-09</t>
  </si>
  <si>
    <t>Click promotional banner</t>
  </si>
  <si>
    <t>HOME-10</t>
  </si>
  <si>
    <t>Refresh home page</t>
  </si>
  <si>
    <t>Page loads without error</t>
  </si>
  <si>
    <t>HOME-11</t>
  </si>
  <si>
    <t>Open home page on mobile</t>
  </si>
  <si>
    <t>Layout works correctly</t>
  </si>
  <si>
    <t>HOME-12</t>
  </si>
  <si>
    <t>Check broken images</t>
  </si>
  <si>
    <t>No broken images</t>
  </si>
  <si>
    <t>Broken image on home page</t>
  </si>
  <si>
    <t>Fail</t>
  </si>
  <si>
    <t>D08</t>
  </si>
  <si>
    <t>SRCH-01</t>
  </si>
  <si>
    <t>R04</t>
  </si>
  <si>
    <t>Search valid product</t>
  </si>
  <si>
    <t>Product displayed</t>
  </si>
  <si>
    <t>SRCH-02</t>
  </si>
  <si>
    <t>Search invalid product</t>
  </si>
  <si>
    <t>No-results message</t>
  </si>
  <si>
    <t>SRCH-03</t>
  </si>
  <si>
    <t>Search partial product name</t>
  </si>
  <si>
    <t>Relevant products displayed</t>
  </si>
  <si>
    <t>SRCH-04</t>
  </si>
  <si>
    <t>Search using uppercase</t>
  </si>
  <si>
    <t>Search works</t>
  </si>
  <si>
    <t>SRCH-05</t>
  </si>
  <si>
    <t>Search using lowercase</t>
  </si>
  <si>
    <t>SRCH-06</t>
  </si>
  <si>
    <t>Search with numbers</t>
  </si>
  <si>
    <t>Appropriate results displayed</t>
  </si>
  <si>
    <t>SRCH-07</t>
  </si>
  <si>
    <t>Search with special characters</t>
  </si>
  <si>
    <t>Input handled safely</t>
  </si>
  <si>
    <t>SRCH-08</t>
  </si>
  <si>
    <t>Search with spaces</t>
  </si>
  <si>
    <t>Input handled correctly</t>
  </si>
  <si>
    <t>SRCH-09</t>
  </si>
  <si>
    <t>Empty search</t>
  </si>
  <si>
    <t>Validation/appropriate result</t>
  </si>
  <si>
    <t>Empty search shows all products, no message</t>
  </si>
  <si>
    <t>D07</t>
  </si>
  <si>
    <t>SRCH-10</t>
  </si>
  <si>
    <t>Very long search text</t>
  </si>
  <si>
    <t>Application handles input safely</t>
  </si>
  <si>
    <t>SRCH-11</t>
  </si>
  <si>
    <t>Search by product ID/SKU</t>
  </si>
  <si>
    <t>Correct product displayed</t>
  </si>
  <si>
    <t>SRCH-12</t>
  </si>
  <si>
    <t>Clear search</t>
  </si>
  <si>
    <t>Search field/results reset</t>
  </si>
  <si>
    <t>SRCH-13</t>
  </si>
  <si>
    <t>Search suggestions</t>
  </si>
  <si>
    <t>Relevant suggestions displayed</t>
  </si>
  <si>
    <t>SRCH-14</t>
  </si>
  <si>
    <t>Select search suggestion</t>
  </si>
  <si>
    <t>Correct results/product opens</t>
  </si>
  <si>
    <t>SRCH-15</t>
  </si>
  <si>
    <t>Search with spelling variation</t>
  </si>
  <si>
    <t>Appropriate results/suggestions</t>
  </si>
  <si>
    <t>PROD-01</t>
  </si>
  <si>
    <t>R05</t>
  </si>
  <si>
    <t>Open product</t>
  </si>
  <si>
    <t>Correct details page opens</t>
  </si>
  <si>
    <t>PROD-02</t>
  </si>
  <si>
    <t>Verify product name</t>
  </si>
  <si>
    <t>Correct name displayed</t>
  </si>
  <si>
    <t>PROD-03</t>
  </si>
  <si>
    <t>Verify product image</t>
  </si>
  <si>
    <t>Correct image displayed</t>
  </si>
  <si>
    <t>PROD-04</t>
  </si>
  <si>
    <t>Zoom product image</t>
  </si>
  <si>
    <t>Image enlarges</t>
  </si>
  <si>
    <t>PROD-05</t>
  </si>
  <si>
    <t>Verify product description</t>
  </si>
  <si>
    <t>Correct description displayed</t>
  </si>
  <si>
    <t>PROD-06</t>
  </si>
  <si>
    <t>Verify price</t>
  </si>
  <si>
    <t>Correct price displayed</t>
  </si>
  <si>
    <t>PROD-07</t>
  </si>
  <si>
    <t>Verify discounted price</t>
  </si>
  <si>
    <t>Correct discount displayed</t>
  </si>
  <si>
    <t>PROD-08</t>
  </si>
  <si>
    <t>Verify product rating</t>
  </si>
  <si>
    <t>Correct rating displayed</t>
  </si>
  <si>
    <t>PROD-09</t>
  </si>
  <si>
    <t>Verify reviews</t>
  </si>
  <si>
    <t>Reviews displayed</t>
  </si>
  <si>
    <t>PROD-10</t>
  </si>
  <si>
    <t>Verify stock status</t>
  </si>
  <si>
    <t>Correct stock status displayed</t>
  </si>
  <si>
    <t>PROD-11</t>
  </si>
  <si>
    <t>Select product size</t>
  </si>
  <si>
    <t>Size selected</t>
  </si>
  <si>
    <t>PROD-12</t>
  </si>
  <si>
    <t>Select product color</t>
  </si>
  <si>
    <t>Color selected</t>
  </si>
  <si>
    <t>PROD-13</t>
  </si>
  <si>
    <t>Select unavailable variant</t>
  </si>
  <si>
    <t>Selection blocked</t>
  </si>
  <si>
    <t>PROD-14</t>
  </si>
  <si>
    <t>Add available product to cart</t>
  </si>
  <si>
    <t>Product added</t>
  </si>
  <si>
    <t>PROD-15</t>
  </si>
  <si>
    <t>Add out-of-stock product</t>
  </si>
  <si>
    <t>Product cannot be purchased</t>
  </si>
  <si>
    <t>Out-of-stock product can be purchased</t>
  </si>
  <si>
    <t>D03</t>
  </si>
  <si>
    <t>PROD-16</t>
  </si>
  <si>
    <t>Increase quantity</t>
  </si>
  <si>
    <t>Quantity increases</t>
  </si>
  <si>
    <t>PROD-17</t>
  </si>
  <si>
    <t>Decrease quantity</t>
  </si>
  <si>
    <t>Quantity decreases</t>
  </si>
  <si>
    <t>PROD-18</t>
  </si>
  <si>
    <t>Enter quantity 0</t>
  </si>
  <si>
    <t>Invalid quantity rejected</t>
  </si>
  <si>
    <t>PROD-19</t>
  </si>
  <si>
    <t>Enter negative quantity</t>
  </si>
  <si>
    <t>PROD-20</t>
  </si>
  <si>
    <t>Enter letters in quantity</t>
  </si>
  <si>
    <t>FIL-01</t>
  </si>
  <si>
    <t>R06</t>
  </si>
  <si>
    <t>Filter by category</t>
  </si>
  <si>
    <t>Correct products displayed</t>
  </si>
  <si>
    <t>FIL-02</t>
  </si>
  <si>
    <t>Filter by brand</t>
  </si>
  <si>
    <t>FIL-03</t>
  </si>
  <si>
    <t>Filter by minimum price</t>
  </si>
  <si>
    <t>Matching products displayed</t>
  </si>
  <si>
    <t>FIL-04</t>
  </si>
  <si>
    <t>Filter by maximum price</t>
  </si>
  <si>
    <t>FIL-05</t>
  </si>
  <si>
    <t>Filter by price range</t>
  </si>
  <si>
    <t>Products within range displayed</t>
  </si>
  <si>
    <t>FIL-06</t>
  </si>
  <si>
    <t>Filter by rating</t>
  </si>
  <si>
    <t>Matching ratings displayed</t>
  </si>
  <si>
    <t>FIL-07</t>
  </si>
  <si>
    <t>Apply multiple filters</t>
  </si>
  <si>
    <t>Products satisfy selected filters</t>
  </si>
  <si>
    <t>FIL-08</t>
  </si>
  <si>
    <t>Clear filters</t>
  </si>
  <si>
    <t>All filters removed</t>
  </si>
  <si>
    <t>FIL-09</t>
  </si>
  <si>
    <t>R07</t>
  </si>
  <si>
    <t>Sort low to high price</t>
  </si>
  <si>
    <t>Correct ascending order</t>
  </si>
  <si>
    <t>FIL-10</t>
  </si>
  <si>
    <t>Sort high to low price</t>
  </si>
  <si>
    <t>Correct descending order</t>
  </si>
  <si>
    <t>FIL-11</t>
  </si>
  <si>
    <t>Sort by rating</t>
  </si>
  <si>
    <t>Correct order</t>
  </si>
  <si>
    <t>FIL-12</t>
  </si>
  <si>
    <t>Sort by newest</t>
  </si>
  <si>
    <t>Newest products first</t>
  </si>
  <si>
    <t>FIL-13</t>
  </si>
  <si>
    <t>Apply filter with no results</t>
  </si>
  <si>
    <t>FIL-14</t>
  </si>
  <si>
    <t>Invalid price range</t>
  </si>
  <si>
    <t>No validation for invalid price range</t>
  </si>
  <si>
    <t>D06</t>
  </si>
  <si>
    <t>FIL-15</t>
  </si>
  <si>
    <t>Refresh after filtering</t>
  </si>
  <si>
    <t>Behavior matches requirements</t>
  </si>
  <si>
    <t>CART-01</t>
  </si>
  <si>
    <t>R08</t>
  </si>
  <si>
    <t>Add product to cart</t>
  </si>
  <si>
    <t>CART-02</t>
  </si>
  <si>
    <t>Add two different products</t>
  </si>
  <si>
    <t>Both products displayed</t>
  </si>
  <si>
    <t>CART-03</t>
  </si>
  <si>
    <t>Add same product twice</t>
  </si>
  <si>
    <t>Quantity/line item handled correctly</t>
  </si>
  <si>
    <t>CART-04</t>
  </si>
  <si>
    <t>View cart</t>
  </si>
  <si>
    <t>Cart page opens</t>
  </si>
  <si>
    <t>CART-05</t>
  </si>
  <si>
    <t>Remove product</t>
  </si>
  <si>
    <t>Product removed</t>
  </si>
  <si>
    <t>CART-06</t>
  </si>
  <si>
    <t>CART-07</t>
  </si>
  <si>
    <t>CART-08</t>
  </si>
  <si>
    <t>Set quantity to 0</t>
  </si>
  <si>
    <t>Item removed or validation shown</t>
  </si>
  <si>
    <t>CART-09</t>
  </si>
  <si>
    <t>Verify product price</t>
  </si>
  <si>
    <t>CART-10</t>
  </si>
  <si>
    <t>Verify subtotal</t>
  </si>
  <si>
    <t>Correct subtotal</t>
  </si>
  <si>
    <t>CART-11</t>
  </si>
  <si>
    <t>Verify total</t>
  </si>
  <si>
    <t>Correct total</t>
  </si>
  <si>
    <t>CART-12</t>
  </si>
  <si>
    <t>Apply valid coupon</t>
  </si>
  <si>
    <t>Discount applied</t>
  </si>
  <si>
    <t>CART-13</t>
  </si>
  <si>
    <t>Apply invalid coupon</t>
  </si>
  <si>
    <t>No error for invalid coupon</t>
  </si>
  <si>
    <t>D05</t>
  </si>
  <si>
    <t>CART-14</t>
  </si>
  <si>
    <t>Remove coupon</t>
  </si>
  <si>
    <t>Discount removed</t>
  </si>
  <si>
    <t>CART-15</t>
  </si>
  <si>
    <t>Product not added</t>
  </si>
  <si>
    <t>Out-of-stock product added to cart</t>
  </si>
  <si>
    <t>CART-16</t>
  </si>
  <si>
    <t>Refresh cart</t>
  </si>
  <si>
    <t>Cart state handled correctly</t>
  </si>
  <si>
    <t>CART-17</t>
  </si>
  <si>
    <t>Empty cart</t>
  </si>
  <si>
    <t>Empty-cart message displayed</t>
  </si>
  <si>
    <t>CART-18</t>
  </si>
  <si>
    <t>Continue shopping</t>
  </si>
  <si>
    <t>User returns to products</t>
  </si>
  <si>
    <t>CART-19</t>
  </si>
  <si>
    <t>Proceed to checkout</t>
  </si>
  <si>
    <t>Checkout opens</t>
  </si>
  <si>
    <t>CART-20</t>
  </si>
  <si>
    <t>Verify cart on mobile</t>
  </si>
  <si>
    <t>Cart usable</t>
  </si>
  <si>
    <t>WISH-01</t>
  </si>
  <si>
    <t>R09</t>
  </si>
  <si>
    <t>Add product to wishlist</t>
  </si>
  <si>
    <t>WISH-02</t>
  </si>
  <si>
    <t>WISH-03</t>
  </si>
  <si>
    <t>Duplicate handled</t>
  </si>
  <si>
    <t>WISH-04</t>
  </si>
  <si>
    <t>Open wishlist</t>
  </si>
  <si>
    <t>Wishlist displayed</t>
  </si>
  <si>
    <t>WISH-05</t>
  </si>
  <si>
    <t>Move wishlist item to cart</t>
  </si>
  <si>
    <t>Product added to cart</t>
  </si>
  <si>
    <t>WISH-06</t>
  </si>
  <si>
    <t>Add unavailable product</t>
  </si>
  <si>
    <t>Behavior handled correctly</t>
  </si>
  <si>
    <t>WISH-07</t>
  </si>
  <si>
    <t>Wishlist for logged-out user</t>
  </si>
  <si>
    <t>Login/request handled</t>
  </si>
  <si>
    <t>WISH-08</t>
  </si>
  <si>
    <t>Refresh wishlist</t>
  </si>
  <si>
    <t>Items persist as required</t>
  </si>
  <si>
    <t>CHK-01</t>
  </si>
  <si>
    <t>R10</t>
  </si>
  <si>
    <t>Open checkout</t>
  </si>
  <si>
    <t>Checkout page opens</t>
  </si>
  <si>
    <t>CHK-02</t>
  </si>
  <si>
    <t>Enter valid address</t>
  </si>
  <si>
    <t>Address accepted</t>
  </si>
  <si>
    <t>CHK-03</t>
  </si>
  <si>
    <t>Leave address blank</t>
  </si>
  <si>
    <t>CHK-04</t>
  </si>
  <si>
    <t>Invalid PIN code</t>
  </si>
  <si>
    <t>CHK-05</t>
  </si>
  <si>
    <t>Invalid phone number</t>
  </si>
  <si>
    <t>CHK-06</t>
  </si>
  <si>
    <t>Select saved address</t>
  </si>
  <si>
    <t>Address selected</t>
  </si>
  <si>
    <t>CHK-07</t>
  </si>
  <si>
    <t>Add new address</t>
  </si>
  <si>
    <t>Address saved</t>
  </si>
  <si>
    <t>CHK-08</t>
  </si>
  <si>
    <t>Edit address</t>
  </si>
  <si>
    <t>Address updated</t>
  </si>
  <si>
    <t>CHK-09</t>
  </si>
  <si>
    <t>Delete address</t>
  </si>
  <si>
    <t>Address deleted</t>
  </si>
  <si>
    <t>CHK-10</t>
  </si>
  <si>
    <t>Verify order summary</t>
  </si>
  <si>
    <t>CHK-11</t>
  </si>
  <si>
    <t>Verify total amount</t>
  </si>
  <si>
    <t>Total calculated correctly</t>
  </si>
  <si>
    <t>Total amount incorrect when coupon applied</t>
  </si>
  <si>
    <t>D04</t>
  </si>
  <si>
    <t>CHK-12</t>
  </si>
  <si>
    <t>Select payment method</t>
  </si>
  <si>
    <t>Payment option selected</t>
  </si>
  <si>
    <t>CHK-13</t>
  </si>
  <si>
    <t>Change payment method</t>
  </si>
  <si>
    <t>New method selected</t>
  </si>
  <si>
    <t>CHK-14</t>
  </si>
  <si>
    <t>Place order</t>
  </si>
  <si>
    <t>Order created</t>
  </si>
  <si>
    <t>CHK-15</t>
  </si>
  <si>
    <t>Empty cart checkout</t>
  </si>
  <si>
    <t>Checkout blocked</t>
  </si>
  <si>
    <t>PAY-01</t>
  </si>
  <si>
    <t>R11</t>
  </si>
  <si>
    <t>Pay using valid card</t>
  </si>
  <si>
    <t>Payment succeeds</t>
  </si>
  <si>
    <t>PAY-02</t>
  </si>
  <si>
    <t>Invalid card number</t>
  </si>
  <si>
    <t>PAY-03</t>
  </si>
  <si>
    <t>Expired card</t>
  </si>
  <si>
    <t>Payment rejected</t>
  </si>
  <si>
    <t>PAY-04</t>
  </si>
  <si>
    <t>Invalid CVV</t>
  </si>
  <si>
    <t>PAY-05</t>
  </si>
  <si>
    <t>Empty card details</t>
  </si>
  <si>
    <t>PAY-06</t>
  </si>
  <si>
    <t>Pay using UPI</t>
  </si>
  <si>
    <t>PAY-07</t>
  </si>
  <si>
    <t>Invalid UPI ID</t>
  </si>
  <si>
    <t>PAY-08</t>
  </si>
  <si>
    <t>Cancel payment</t>
  </si>
  <si>
    <t>Payment cancelled</t>
  </si>
  <si>
    <t>PAY-09</t>
  </si>
  <si>
    <t>Payment timeout</t>
  </si>
  <si>
    <t>Appropriate failure message</t>
  </si>
  <si>
    <t>PAY-10</t>
  </si>
  <si>
    <t>Payment failure</t>
  </si>
  <si>
    <t>Order status handled correctly</t>
  </si>
  <si>
    <t>Order status incorrect after payment failure</t>
  </si>
  <si>
    <t>D01</t>
  </si>
  <si>
    <t>PAY-11</t>
  </si>
  <si>
    <t>Successful payment</t>
  </si>
  <si>
    <t>Confirmation displayed</t>
  </si>
  <si>
    <t>PAY-12</t>
  </si>
  <si>
    <t>Refresh during payment</t>
  </si>
  <si>
    <t>Transaction handled safely</t>
  </si>
  <si>
    <t>PAY-13</t>
  </si>
  <si>
    <t>Double-click Pay button</t>
  </si>
  <si>
    <t>Duplicate payment/order prevented</t>
  </si>
  <si>
    <t>Duplicate payment/order created on double-click</t>
  </si>
  <si>
    <t>D02</t>
  </si>
  <si>
    <t>PAY-14</t>
  </si>
  <si>
    <t>Payment receipt</t>
  </si>
  <si>
    <t>Receipt generated</t>
  </si>
  <si>
    <t>PAY-15</t>
  </si>
  <si>
    <t>Failed payment retry</t>
  </si>
  <si>
    <t>Retry works correctly</t>
  </si>
  <si>
    <t>Retry after failed payment does not work</t>
  </si>
  <si>
    <t>ORD-01</t>
  </si>
  <si>
    <t>R12</t>
  </si>
  <si>
    <t>Place an order</t>
  </si>
  <si>
    <t>ORD-02</t>
  </si>
  <si>
    <t>View order history</t>
  </si>
  <si>
    <t>Previous orders displayed</t>
  </si>
  <si>
    <t>ORD-03</t>
  </si>
  <si>
    <t>Open order details</t>
  </si>
  <si>
    <t>Correct details displayed</t>
  </si>
  <si>
    <t>ORD-04</t>
  </si>
  <si>
    <t>Verify order ID</t>
  </si>
  <si>
    <t>Unique order ID displayed</t>
  </si>
  <si>
    <t>ORD-05</t>
  </si>
  <si>
    <t>Verify order amount</t>
  </si>
  <si>
    <t>Correct amount displayed</t>
  </si>
  <si>
    <t>ORD-06</t>
  </si>
  <si>
    <t>Track order</t>
  </si>
  <si>
    <t>Tracking information displayed</t>
  </si>
  <si>
    <t>ORD-07</t>
  </si>
  <si>
    <t>Cancel order</t>
  </si>
  <si>
    <t>Order cancelled if eligible</t>
  </si>
  <si>
    <t>ORD-08</t>
  </si>
  <si>
    <t>Return product</t>
  </si>
  <si>
    <t>Return request created if eligible</t>
  </si>
  <si>
    <t>ORD-09</t>
  </si>
  <si>
    <t>Download invoice</t>
  </si>
  <si>
    <t>Invoice downloaded</t>
  </si>
  <si>
    <t>ORD-10</t>
  </si>
  <si>
    <t>Reorder previous product</t>
  </si>
  <si>
    <t>Product added to cart/order flow</t>
  </si>
  <si>
    <t>PROF-01</t>
  </si>
  <si>
    <t>R13</t>
  </si>
  <si>
    <t>Open profile</t>
  </si>
  <si>
    <t>Profile displayed</t>
  </si>
  <si>
    <t>PROF-02</t>
  </si>
  <si>
    <t>Edit name</t>
  </si>
  <si>
    <t>Name updated</t>
  </si>
  <si>
    <t>PROF-03</t>
  </si>
  <si>
    <t>Edit phone</t>
  </si>
  <si>
    <t>Phone updated</t>
  </si>
  <si>
    <t>PROF-04</t>
  </si>
  <si>
    <t>Edit email</t>
  </si>
  <si>
    <t>Email updated/verified</t>
  </si>
  <si>
    <t>PROF-05</t>
  </si>
  <si>
    <t>Change password</t>
  </si>
  <si>
    <t>Password changed</t>
  </si>
  <si>
    <t>PROF-06</t>
  </si>
  <si>
    <t>Wrong current password</t>
  </si>
  <si>
    <t>PROF-07</t>
  </si>
  <si>
    <t>Change profile picture</t>
  </si>
  <si>
    <t>Picture updated</t>
  </si>
  <si>
    <t>PROF-08</t>
  </si>
  <si>
    <t>Save profile changes</t>
  </si>
  <si>
    <t>Changes saved</t>
  </si>
  <si>
    <t>PROF-09</t>
  </si>
  <si>
    <t>Cancel changes</t>
  </si>
  <si>
    <t>Changes discarded</t>
  </si>
  <si>
    <t>PROF-10</t>
  </si>
  <si>
    <t>R14</t>
  </si>
  <si>
    <t>Blue columns are editable. Per the problem statement, 163 of 173 test cases pass and 10 fail. The document does not say which 10, so the failed cases here are an illustrative assumption - change Status to match your real results and all metrics update.</t>
  </si>
  <si>
    <t>Requirement</t>
  </si>
  <si>
    <t>Covered by Test Cases</t>
  </si>
  <si>
    <t>Test Cases Mapped</t>
  </si>
  <si>
    <t>Executed (Pass+Fail)</t>
  </si>
  <si>
    <t>Tested?</t>
  </si>
  <si>
    <t>User should be able to create an account with valid details</t>
  </si>
  <si>
    <t>REG-01 to REG-18</t>
  </si>
  <si>
    <t>User should be able to log in with valid credentials</t>
  </si>
  <si>
    <t>LOG-01 to LOG-15</t>
  </si>
  <si>
    <t>Home</t>
  </si>
  <si>
    <t>Website should display the home page correctly</t>
  </si>
  <si>
    <t>HOME-01 to HOME-12</t>
  </si>
  <si>
    <t>Search</t>
  </si>
  <si>
    <t>User should be able to search for products</t>
  </si>
  <si>
    <t>SRCH-01 to SRCH-15</t>
  </si>
  <si>
    <t>Product</t>
  </si>
  <si>
    <t>Product details, price, image and availability should be displayed</t>
  </si>
  <si>
    <t>PROD-01 to PROD-20</t>
  </si>
  <si>
    <t>Filter</t>
  </si>
  <si>
    <t>User should be able to filter products</t>
  </si>
  <si>
    <t>FIL-01 to FIL-08</t>
  </si>
  <si>
    <t>Sort</t>
  </si>
  <si>
    <t>User should be able to sort products by price/rating</t>
  </si>
  <si>
    <t>FIL-09 to FIL-15</t>
  </si>
  <si>
    <t>User should be able to add, remove and update products</t>
  </si>
  <si>
    <t>CART-01 to CART-20</t>
  </si>
  <si>
    <t>User should be able to add/remove products from wishlist</t>
  </si>
  <si>
    <t>WISH-01 to WISH-08</t>
  </si>
  <si>
    <t>User should be able to enter and manage delivery address</t>
  </si>
  <si>
    <t>CHK-01 to CHK-15</t>
  </si>
  <si>
    <t>User should be able to make payment using available methods</t>
  </si>
  <si>
    <t>PAY-01 to PAY-15</t>
  </si>
  <si>
    <t>User should be able to view and track orders</t>
  </si>
  <si>
    <t>ORD-01 to ORD-10</t>
  </si>
  <si>
    <t>User should be able to update profile information</t>
  </si>
  <si>
    <t>PROF-01 to PROF-10</t>
  </si>
  <si>
    <t>User should be able to securely log out</t>
  </si>
  <si>
    <t>"Tested?" is calculated: a requirement counts as tested when at least one of its mapped test cases has been executed (Pass or Fail).</t>
  </si>
  <si>
    <t>Failed TCs (count)</t>
  </si>
  <si>
    <t>Summary</t>
  </si>
  <si>
    <t>Order status incorrect after payment failure / retry fails</t>
  </si>
  <si>
    <t>Open</t>
  </si>
  <si>
    <t>Duplicate payment/order created on double-click of Pay</t>
  </si>
  <si>
    <t>Product Details / Cart</t>
  </si>
  <si>
    <t>Out-of-stock product can be purchased / added to cart</t>
  </si>
  <si>
    <t>No error message for invalid coupon</t>
  </si>
  <si>
    <t>Empty search shows all products without message</t>
  </si>
  <si>
    <t>The 10 failed test cases map to 8 unique defects (several failures share one root cause). The problem statement gives only the counts (2 Critical, 2 High, 3 Medium, 1 Low); descriptions and modules are illustrative. Link test cases to defects using the Defect ID column on Test Cases.</t>
  </si>
  <si>
    <t>Test #</t>
  </si>
  <si>
    <t>Page Loading Time (sec)</t>
  </si>
  <si>
    <t>Test 1</t>
  </si>
  <si>
    <t>Test 2</t>
  </si>
  <si>
    <t>Test 3</t>
  </si>
  <si>
    <t>Test 4</t>
  </si>
  <si>
    <t>Test 5</t>
  </si>
  <si>
    <t>Page-loading times from five performance test executions (blue = editable).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</si>
</sst>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 defects/KLOC&quot;"/>
    <numFmt numFmtId="166" formatCode="0.0&quot; sec&quot;"/>
    <numFmt numFmtId="167" formatCode="0.0%"/>
  </numFmts>
  <fonts count="8" x14ac:knownFonts="1">
    <font>
      <sz val="11"/>
      <color theme="1"/>
      <name val="Calibri"/>
      <family val="2"/>
      <charset val="1"/>
    </font>
    <font>
      <b/>
      <sz val="14"/>
      <color rgb="FF1F4E78"/>
      <name val="Arial"/>
      <family val="2"/>
    </font>
    <font>
      <i/>
      <sz val="9"/>
      <name val="Arial"/>
      <family val="2"/>
    </font>
    <font>
      <b/>
      <sz val="11"/>
      <color rgb="FF1F4E78"/>
      <name val="Arial"/>
      <family val="2"/>
    </font>
    <font>
      <sz val="10"/>
      <name val="Arial"/>
      <family val="2"/>
    </font>
    <font>
      <sz val="10"/>
      <color rgb="FF0000FF"/>
      <name val="Arial"/>
      <family val="2"/>
    </font>
    <font>
      <b/>
      <sz val="10"/>
      <color rgb="FFFFFFFF"/>
      <name val="Arial"/>
      <family val="2"/>
    </font>
    <font>
      <b/>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4" fillId="0" borderId="0" xfId="0" applyFont="1" applyAlignment="1">
      <alignment vertical="top" wrapText="1"/>
    </xf>
    <xf numFmtId="0" fontId="4" fillId="0" borderId="1" xfId="0" applyFont="1" applyBorder="1" applyAlignment="1">
      <alignment vertical="top" wrapText="1"/>
    </xf>
    <xf numFmtId="0" fontId="1" fillId="0" borderId="0" xfId="0" applyFont="1"/>
    <xf numFmtId="0" fontId="2" fillId="0" borderId="0" xfId="0" applyFont="1"/>
    <xf numFmtId="0" fontId="3" fillId="0" borderId="0" xfId="0" applyFont="1"/>
    <xf numFmtId="0" fontId="4" fillId="0" borderId="1" xfId="0" applyFont="1" applyBorder="1"/>
    <xf numFmtId="3" fontId="5" fillId="0" borderId="1" xfId="0" applyNumberFormat="1" applyFont="1" applyBorder="1"/>
    <xf numFmtId="164" fontId="4" fillId="0" borderId="1" xfId="0" applyNumberFormat="1" applyFont="1" applyBorder="1"/>
    <xf numFmtId="0" fontId="6" fillId="2" borderId="1" xfId="0" applyFont="1" applyFill="1" applyBorder="1" applyAlignment="1">
      <alignment horizontal="center" vertical="center" wrapText="1"/>
    </xf>
    <xf numFmtId="0" fontId="4" fillId="0" borderId="1" xfId="0" applyFont="1" applyBorder="1" applyAlignment="1">
      <alignment vertical="top" wrapText="1"/>
    </xf>
    <xf numFmtId="10" fontId="7" fillId="0" borderId="1" xfId="0" applyNumberFormat="1" applyFont="1" applyBorder="1" applyAlignment="1">
      <alignment vertical="top" wrapText="1"/>
    </xf>
    <xf numFmtId="164" fontId="4" fillId="0" borderId="1" xfId="0" applyNumberFormat="1" applyFont="1" applyBorder="1" applyAlignment="1">
      <alignment vertical="top" wrapText="1"/>
    </xf>
    <xf numFmtId="165" fontId="7" fillId="0" borderId="1" xfId="0" applyNumberFormat="1" applyFont="1" applyBorder="1" applyAlignment="1">
      <alignment vertical="top" wrapText="1"/>
    </xf>
    <xf numFmtId="166" fontId="7" fillId="0" borderId="1" xfId="0" applyNumberFormat="1" applyFont="1" applyBorder="1" applyAlignment="1">
      <alignment vertical="top" wrapText="1"/>
    </xf>
    <xf numFmtId="166" fontId="4" fillId="0" borderId="1" xfId="0" applyNumberFormat="1" applyFont="1" applyBorder="1" applyAlignment="1">
      <alignment vertical="top" wrapText="1"/>
    </xf>
    <xf numFmtId="167" fontId="7" fillId="0" borderId="1" xfId="0" applyNumberFormat="1" applyFont="1" applyBorder="1" applyAlignment="1">
      <alignment vertical="top" wrapText="1"/>
    </xf>
    <xf numFmtId="167" fontId="4" fillId="0" borderId="1" xfId="0" applyNumberFormat="1" applyFont="1" applyBorder="1" applyAlignment="1">
      <alignment vertical="top" wrapText="1"/>
    </xf>
    <xf numFmtId="0" fontId="7" fillId="0" borderId="1" xfId="0" applyFont="1" applyBorder="1" applyAlignment="1">
      <alignment vertical="top" wrapText="1"/>
    </xf>
    <xf numFmtId="10" fontId="4" fillId="0" borderId="1" xfId="0" applyNumberFormat="1" applyFont="1" applyBorder="1" applyAlignment="1">
      <alignment horizontal="right"/>
    </xf>
    <xf numFmtId="1" fontId="4" fillId="0" borderId="1" xfId="0" applyNumberFormat="1" applyFont="1" applyBorder="1" applyAlignment="1">
      <alignment horizontal="right"/>
    </xf>
    <xf numFmtId="165" fontId="4" fillId="0" borderId="1" xfId="0" applyNumberFormat="1" applyFont="1" applyBorder="1" applyAlignment="1">
      <alignment horizontal="right"/>
    </xf>
    <xf numFmtId="166" fontId="4" fillId="0" borderId="1" xfId="0" applyNumberFormat="1" applyFont="1" applyBorder="1" applyAlignment="1">
      <alignment horizontal="right"/>
    </xf>
    <xf numFmtId="167" fontId="4" fillId="0" borderId="1" xfId="0" applyNumberFormat="1" applyFont="1" applyBorder="1" applyAlignment="1">
      <alignment horizontal="right"/>
    </xf>
    <xf numFmtId="0" fontId="5" fillId="0" borderId="1" xfId="0" applyFont="1" applyBorder="1" applyAlignment="1">
      <alignment vertical="top" wrapText="1"/>
    </xf>
    <xf numFmtId="0" fontId="5" fillId="0" borderId="1" xfId="0" applyFont="1" applyBorder="1" applyAlignment="1">
      <alignment horizontal="center" vertical="top"/>
    </xf>
    <xf numFmtId="0" fontId="4" fillId="0" borderId="1" xfId="0" applyFont="1" applyBorder="1" applyAlignment="1">
      <alignment horizontal="center" vertical="top"/>
    </xf>
    <xf numFmtId="0" fontId="7" fillId="0" borderId="1" xfId="0" applyFont="1" applyBorder="1"/>
  </cellXfs>
  <cellStyles count="1">
    <cellStyle name="Normal" xfId="0" builtinId="0"/>
  </cellStyles>
  <dxfs count="3">
    <dxf>
      <fill>
        <patternFill>
          <bgColor rgb="FFFFC7CE"/>
        </patternFill>
      </fill>
    </dxf>
    <dxf>
      <font>
        <color rgb="FF9C0006"/>
        <name val="Arial"/>
        <charset val="1"/>
      </font>
      <fill>
        <patternFill>
          <bgColor rgb="FFFFC7CE"/>
        </patternFill>
      </fill>
    </dxf>
    <dxf>
      <font>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zoomScaleNormal="100" workbookViewId="0"/>
  </sheetViews>
  <sheetFormatPr defaultColWidth="8.6640625" defaultRowHeight="14.8" x14ac:dyDescent="0.3"/>
  <cols>
    <col min="1" max="1" width="30" customWidth="1"/>
    <col min="2" max="2" width="42" customWidth="1"/>
    <col min="3" max="3" width="22" customWidth="1"/>
    <col min="4" max="4" width="16" customWidth="1"/>
    <col min="5" max="5" width="18" customWidth="1"/>
    <col min="6" max="6" width="60" customWidth="1"/>
  </cols>
  <sheetData>
    <row r="1" spans="1:6" ht="18" x14ac:dyDescent="0.3">
      <c r="A1" s="3" t="s">
        <v>0</v>
      </c>
    </row>
    <row r="2" spans="1:6" x14ac:dyDescent="0.3">
      <c r="A2" s="4" t="s">
        <v>1</v>
      </c>
    </row>
    <row r="4" spans="1:6" x14ac:dyDescent="0.3">
      <c r="A4" s="5" t="s">
        <v>2</v>
      </c>
    </row>
    <row r="5" spans="1:6" x14ac:dyDescent="0.3">
      <c r="A5" s="6" t="s">
        <v>3</v>
      </c>
      <c r="B5" s="7">
        <v>20000</v>
      </c>
      <c r="C5" s="4" t="s">
        <v>4</v>
      </c>
    </row>
    <row r="6" spans="1:6" x14ac:dyDescent="0.3">
      <c r="A6" s="6" t="s">
        <v>5</v>
      </c>
      <c r="B6" s="8">
        <f>B5/1000</f>
        <v>20</v>
      </c>
    </row>
    <row r="8" spans="1:6" x14ac:dyDescent="0.3">
      <c r="A8" s="5" t="s">
        <v>6</v>
      </c>
    </row>
    <row r="9" spans="1:6" x14ac:dyDescent="0.3">
      <c r="A9" s="9" t="s">
        <v>7</v>
      </c>
      <c r="B9" s="9" t="s">
        <v>8</v>
      </c>
      <c r="C9" s="9" t="s">
        <v>9</v>
      </c>
      <c r="D9" s="9" t="s">
        <v>10</v>
      </c>
      <c r="E9" s="9" t="s">
        <v>11</v>
      </c>
      <c r="F9" s="9" t="s">
        <v>12</v>
      </c>
    </row>
    <row r="10" spans="1:6" ht="30.05" customHeight="1" x14ac:dyDescent="0.3">
      <c r="A10" s="10" t="s">
        <v>13</v>
      </c>
      <c r="B10" s="10" t="s">
        <v>14</v>
      </c>
      <c r="C10" s="10">
        <f>COUNTIF(Requirements!$G$2:$G$15,"Yes")</f>
        <v>14</v>
      </c>
      <c r="D10" s="10">
        <f>COUNTA(Requirements!$A$2:$A$15)</f>
        <v>14</v>
      </c>
      <c r="E10" s="11">
        <f t="shared" ref="E10:E15" si="0">IF(D10=0,0,C10/D10)</f>
        <v>1</v>
      </c>
      <c r="F10" s="10" t="s">
        <v>15</v>
      </c>
    </row>
    <row r="11" spans="1:6" ht="30.05" customHeight="1" x14ac:dyDescent="0.3">
      <c r="A11" s="10" t="s">
        <v>16</v>
      </c>
      <c r="B11" s="10" t="s">
        <v>17</v>
      </c>
      <c r="C11" s="10">
        <f>COUNTIF('Test Cases'!$G$2:$G$174,"Pass")+COUNTIF('Test Cases'!$G$2:$G$174,"Fail")</f>
        <v>173</v>
      </c>
      <c r="D11" s="10">
        <f>COUNTA('Test Cases'!$A$2:$A$174)</f>
        <v>173</v>
      </c>
      <c r="E11" s="11">
        <f t="shared" si="0"/>
        <v>1</v>
      </c>
      <c r="F11" s="10" t="s">
        <v>18</v>
      </c>
    </row>
    <row r="12" spans="1:6" ht="30.05" customHeight="1" x14ac:dyDescent="0.3">
      <c r="A12" s="10" t="s">
        <v>19</v>
      </c>
      <c r="B12" s="10" t="s">
        <v>20</v>
      </c>
      <c r="C12" s="10">
        <f>COUNTIF('Test Cases'!$G$2:$G$174,"Pass")</f>
        <v>163</v>
      </c>
      <c r="D12" s="10">
        <f>C11</f>
        <v>173</v>
      </c>
      <c r="E12" s="11">
        <f t="shared" si="0"/>
        <v>0.94219653179190754</v>
      </c>
      <c r="F12" s="10" t="s">
        <v>21</v>
      </c>
    </row>
    <row r="13" spans="1:6" ht="30.05" customHeight="1" x14ac:dyDescent="0.3">
      <c r="A13" s="10" t="s">
        <v>22</v>
      </c>
      <c r="B13" s="10" t="s">
        <v>23</v>
      </c>
      <c r="C13" s="10">
        <f>COUNTIF('Test Cases'!$G$2:$G$174,"Fail")</f>
        <v>10</v>
      </c>
      <c r="D13" s="10">
        <f>C11</f>
        <v>173</v>
      </c>
      <c r="E13" s="11">
        <f t="shared" si="0"/>
        <v>5.7803468208092484E-2</v>
      </c>
      <c r="F13" s="10" t="s">
        <v>24</v>
      </c>
    </row>
    <row r="14" spans="1:6" ht="30.05" customHeight="1" x14ac:dyDescent="0.3">
      <c r="A14" s="10" t="s">
        <v>25</v>
      </c>
      <c r="B14" s="10" t="s">
        <v>26</v>
      </c>
      <c r="C14" s="10">
        <f>COUNTA(Defects!$A$2:$A$9)</f>
        <v>8</v>
      </c>
      <c r="D14" s="12">
        <f>B6</f>
        <v>20</v>
      </c>
      <c r="E14" s="13">
        <f t="shared" si="0"/>
        <v>0.4</v>
      </c>
      <c r="F14" s="10" t="s">
        <v>27</v>
      </c>
    </row>
    <row r="15" spans="1:6" ht="30.05" customHeight="1" x14ac:dyDescent="0.3">
      <c r="A15" s="10" t="s">
        <v>28</v>
      </c>
      <c r="B15" s="10" t="s">
        <v>29</v>
      </c>
      <c r="C15" s="10">
        <f>SUM('Response Times'!$B$2:$B$6)</f>
        <v>20</v>
      </c>
      <c r="D15" s="10">
        <f>COUNT('Response Times'!$B$2:$B$6)</f>
        <v>5</v>
      </c>
      <c r="E15" s="14">
        <f t="shared" si="0"/>
        <v>4</v>
      </c>
      <c r="F15" s="10" t="s">
        <v>30</v>
      </c>
    </row>
    <row r="16" spans="1:6" ht="30.05" customHeight="1" x14ac:dyDescent="0.3">
      <c r="A16" s="10" t="s">
        <v>31</v>
      </c>
      <c r="B16" s="10" t="s">
        <v>32</v>
      </c>
      <c r="C16" s="10" t="s">
        <v>33</v>
      </c>
      <c r="D16" s="10">
        <f>COUNT('Response Times'!$B$2:$B$6)</f>
        <v>5</v>
      </c>
      <c r="E16" s="14">
        <f>MEDIAN('Response Times'!$B$2:$B$6)</f>
        <v>3</v>
      </c>
      <c r="F16" s="10" t="s">
        <v>34</v>
      </c>
    </row>
    <row r="17" spans="1:6" ht="30.05" customHeight="1" x14ac:dyDescent="0.3">
      <c r="A17" s="10" t="s">
        <v>35</v>
      </c>
      <c r="B17" s="10" t="s">
        <v>36</v>
      </c>
      <c r="C17" s="15">
        <f>E15</f>
        <v>4</v>
      </c>
      <c r="D17" s="15">
        <f>E16</f>
        <v>3</v>
      </c>
      <c r="E17" s="14">
        <f>C17-D17</f>
        <v>1</v>
      </c>
      <c r="F17" s="10" t="s">
        <v>37</v>
      </c>
    </row>
    <row r="18" spans="1:6" ht="30.05" customHeight="1" x14ac:dyDescent="0.3">
      <c r="A18" s="10" t="s">
        <v>38</v>
      </c>
      <c r="B18" s="10" t="s">
        <v>39</v>
      </c>
      <c r="C18" s="10">
        <f>COUNTIF(Defects!$E$2:$E$9,"Critical")</f>
        <v>2</v>
      </c>
      <c r="D18" s="10">
        <f>C14</f>
        <v>8</v>
      </c>
      <c r="E18" s="16">
        <f>IF(D18=0,0,C18/D18)</f>
        <v>0.25</v>
      </c>
      <c r="F18" s="10" t="s">
        <v>40</v>
      </c>
    </row>
    <row r="20" spans="1:6" x14ac:dyDescent="0.3">
      <c r="A20" s="5" t="s">
        <v>41</v>
      </c>
    </row>
    <row r="21" spans="1:6" x14ac:dyDescent="0.3">
      <c r="A21" s="9" t="s">
        <v>42</v>
      </c>
      <c r="B21" s="9" t="s">
        <v>43</v>
      </c>
      <c r="C21" s="9" t="s">
        <v>44</v>
      </c>
      <c r="D21" s="9" t="s">
        <v>45</v>
      </c>
      <c r="E21" s="9" t="s">
        <v>46</v>
      </c>
      <c r="F21" s="9" t="s">
        <v>12</v>
      </c>
    </row>
    <row r="22" spans="1:6" x14ac:dyDescent="0.3">
      <c r="A22" s="10" t="s">
        <v>47</v>
      </c>
      <c r="B22" s="10" t="str">
        <f>C22&amp;"/"&amp;D22&amp;" x 100"</f>
        <v>2/8 x 100</v>
      </c>
      <c r="C22" s="10">
        <f>COUNTIF(Defects!$E$2:$E$9,A22)</f>
        <v>2</v>
      </c>
      <c r="D22" s="10">
        <f>$C$14</f>
        <v>8</v>
      </c>
      <c r="E22" s="17">
        <f>IF(D22=0,0,C22/D22)</f>
        <v>0.25</v>
      </c>
      <c r="F22" s="2" t="str">
        <f>IF(MAX(C22:C25)=C24,"Most defects are Medium severity ("&amp;TEXT(E24,"0.0%")&amp;"), followed by Critical and High defects. ","")&amp;"Fix critical and high-severity defects before release, then retest the affected modules."</f>
        <v>Most defects are Medium severity (37.5%), followed by Critical and High defects. Fix critical and high-severity defects before release, then retest the affected modules.</v>
      </c>
    </row>
    <row r="23" spans="1:6" x14ac:dyDescent="0.3">
      <c r="A23" s="10" t="s">
        <v>48</v>
      </c>
      <c r="B23" s="10" t="str">
        <f>C23&amp;"/"&amp;D23&amp;" x 100"</f>
        <v>2/8 x 100</v>
      </c>
      <c r="C23" s="10">
        <f>COUNTIF(Defects!$E$2:$E$9,A23)</f>
        <v>2</v>
      </c>
      <c r="D23" s="10">
        <f>$C$14</f>
        <v>8</v>
      </c>
      <c r="E23" s="17">
        <f>IF(D23=0,0,C23/D23)</f>
        <v>0.25</v>
      </c>
      <c r="F23" s="2"/>
    </row>
    <row r="24" spans="1:6" x14ac:dyDescent="0.3">
      <c r="A24" s="10" t="s">
        <v>49</v>
      </c>
      <c r="B24" s="10" t="str">
        <f>C24&amp;"/"&amp;D24&amp;" x 100"</f>
        <v>3/8 x 100</v>
      </c>
      <c r="C24" s="10">
        <f>COUNTIF(Defects!$E$2:$E$9,A24)</f>
        <v>3</v>
      </c>
      <c r="D24" s="10">
        <f>$C$14</f>
        <v>8</v>
      </c>
      <c r="E24" s="17">
        <f>IF(D24=0,0,C24/D24)</f>
        <v>0.375</v>
      </c>
      <c r="F24" s="2"/>
    </row>
    <row r="25" spans="1:6" x14ac:dyDescent="0.3">
      <c r="A25" s="10" t="s">
        <v>50</v>
      </c>
      <c r="B25" s="10" t="str">
        <f>C25&amp;"/"&amp;D25&amp;" x 100"</f>
        <v>1/8 x 100</v>
      </c>
      <c r="C25" s="10">
        <f>COUNTIF(Defects!$E$2:$E$9,A25)</f>
        <v>1</v>
      </c>
      <c r="D25" s="10">
        <f>$C$14</f>
        <v>8</v>
      </c>
      <c r="E25" s="17">
        <f>IF(D25=0,0,C25/D25)</f>
        <v>0.125</v>
      </c>
      <c r="F25" s="2"/>
    </row>
    <row r="26" spans="1:6" x14ac:dyDescent="0.3">
      <c r="A26" s="18" t="s">
        <v>51</v>
      </c>
      <c r="B26" s="18"/>
      <c r="C26" s="18">
        <f>SUM(C22:C25)</f>
        <v>8</v>
      </c>
      <c r="D26" s="18">
        <f>C14</f>
        <v>8</v>
      </c>
      <c r="E26" s="16">
        <f>SUM(E22:E25)</f>
        <v>1</v>
      </c>
      <c r="F26" s="18"/>
    </row>
    <row r="28" spans="1:6" x14ac:dyDescent="0.3">
      <c r="A28" s="5" t="s">
        <v>52</v>
      </c>
    </row>
    <row r="29" spans="1:6" x14ac:dyDescent="0.3">
      <c r="A29" s="9" t="s">
        <v>7</v>
      </c>
      <c r="B29" s="9" t="s">
        <v>11</v>
      </c>
      <c r="C29" s="9"/>
      <c r="D29" s="9"/>
      <c r="E29" s="9"/>
      <c r="F29" s="9"/>
    </row>
    <row r="30" spans="1:6" x14ac:dyDescent="0.3">
      <c r="A30" s="6" t="s">
        <v>53</v>
      </c>
      <c r="B30" s="19">
        <f>E10</f>
        <v>1</v>
      </c>
    </row>
    <row r="31" spans="1:6" x14ac:dyDescent="0.3">
      <c r="A31" s="6" t="s">
        <v>54</v>
      </c>
      <c r="B31" s="19">
        <f>E11</f>
        <v>1</v>
      </c>
    </row>
    <row r="32" spans="1:6" x14ac:dyDescent="0.3">
      <c r="A32" s="6" t="s">
        <v>55</v>
      </c>
      <c r="B32" s="19">
        <f>E12</f>
        <v>0.94219653179190754</v>
      </c>
    </row>
    <row r="33" spans="1:6" x14ac:dyDescent="0.3">
      <c r="A33" s="6" t="s">
        <v>56</v>
      </c>
      <c r="B33" s="19">
        <f>E13</f>
        <v>5.7803468208092484E-2</v>
      </c>
    </row>
    <row r="34" spans="1:6" x14ac:dyDescent="0.3">
      <c r="A34" s="6" t="s">
        <v>57</v>
      </c>
      <c r="B34" s="20">
        <f>C14</f>
        <v>8</v>
      </c>
    </row>
    <row r="35" spans="1:6" x14ac:dyDescent="0.3">
      <c r="A35" s="6" t="s">
        <v>58</v>
      </c>
      <c r="B35" s="21">
        <f>E14</f>
        <v>0.4</v>
      </c>
    </row>
    <row r="36" spans="1:6" x14ac:dyDescent="0.3">
      <c r="A36" s="6" t="s">
        <v>59</v>
      </c>
      <c r="B36" s="22">
        <f>E15</f>
        <v>4</v>
      </c>
    </row>
    <row r="37" spans="1:6" x14ac:dyDescent="0.3">
      <c r="A37" s="6" t="s">
        <v>60</v>
      </c>
      <c r="B37" s="22">
        <f>E16</f>
        <v>3</v>
      </c>
    </row>
    <row r="38" spans="1:6" x14ac:dyDescent="0.3">
      <c r="A38" s="6" t="s">
        <v>61</v>
      </c>
      <c r="B38" s="23">
        <f>E18</f>
        <v>0.25</v>
      </c>
    </row>
    <row r="39" spans="1:6" x14ac:dyDescent="0.3">
      <c r="A39" s="6" t="s">
        <v>62</v>
      </c>
      <c r="B39" s="20">
        <f>C22</f>
        <v>2</v>
      </c>
    </row>
    <row r="40" spans="1:6" x14ac:dyDescent="0.3">
      <c r="A40" s="6" t="s">
        <v>63</v>
      </c>
      <c r="B40" s="20">
        <f>C23</f>
        <v>2</v>
      </c>
    </row>
    <row r="41" spans="1:6" x14ac:dyDescent="0.3">
      <c r="A41" s="6" t="s">
        <v>64</v>
      </c>
      <c r="B41" s="20">
        <f>C24</f>
        <v>3</v>
      </c>
    </row>
    <row r="42" spans="1:6" x14ac:dyDescent="0.3">
      <c r="A42" s="6" t="s">
        <v>65</v>
      </c>
      <c r="B42" s="20">
        <f>C25</f>
        <v>1</v>
      </c>
    </row>
    <row r="44" spans="1:6" x14ac:dyDescent="0.3">
      <c r="A44" s="5" t="s">
        <v>66</v>
      </c>
    </row>
    <row r="45" spans="1:6" x14ac:dyDescent="0.3">
      <c r="A45" s="1" t="str">
        <f>"The e-commerce website achieved "&amp;TEXT(E10,"0%")&amp;" requirement coverage and "&amp;TEXT(E11,"0%")&amp;" test execution. Out of "&amp;D11&amp;" test cases, "&amp;C12&amp;" passed and "&amp;C13&amp;" failed, giving a pass rate of "&amp;TEXT(E12,"0.00%")&amp;" and fail rate of "&amp;TEXT(E13,"0.00%")&amp;". "&amp;C14&amp;" unique defects were identified, with a defect density of "&amp;TEXT(E14,"0.0")&amp;" defects/KLOC. The mean and median page-loading times were "&amp;TEXT(E15,"0")&amp;" seconds and "&amp;TEXT(E16,"0")&amp;" seconds respectively. Critical defects accounted for "&amp;TEXT(E18,"0%")&amp;" of all defects. The failed test cases and critical/high-severity defects should be fixed and regression-tested before release."</f>
        <v>The e-commerce website achieved 100% requirement coverage and 100% test execution. Out of 173 test cases, 163 passed and 10 failed, giving a pass rate of 94.22% and fail rate of 5.78%. 8 unique defects were identified, with a defect density of 0.4 defects/KLOC. The mean and median page-loading times were 4 seconds and 3 seconds respectively. Critical defects accounted for 25% of all defects. The failed test cases and critical/high-severity defects should be fixed and regression-tested before release.</v>
      </c>
      <c r="B45" s="1"/>
      <c r="C45" s="1"/>
      <c r="D45" s="1"/>
      <c r="E45" s="1"/>
      <c r="F45" s="1"/>
    </row>
    <row r="46" spans="1:6" x14ac:dyDescent="0.3">
      <c r="A46" s="1"/>
      <c r="B46" s="1"/>
      <c r="C46" s="1"/>
      <c r="D46" s="1"/>
      <c r="E46" s="1"/>
      <c r="F46" s="1"/>
    </row>
    <row r="47" spans="1:6" x14ac:dyDescent="0.3">
      <c r="A47" s="1"/>
      <c r="B47" s="1"/>
      <c r="C47" s="1"/>
      <c r="D47" s="1"/>
      <c r="E47" s="1"/>
      <c r="F47" s="1"/>
    </row>
  </sheetData>
  <mergeCells count="2">
    <mergeCell ref="F22:F25"/>
    <mergeCell ref="A45:F4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zoomScaleNormal="100" workbookViewId="0">
      <pane ySplit="1" topLeftCell="A2" activePane="bottomLeft" state="frozen"/>
      <selection pane="bottomLeft"/>
    </sheetView>
  </sheetViews>
  <sheetFormatPr defaultColWidth="8.6640625" defaultRowHeight="14.8" x14ac:dyDescent="0.3"/>
  <cols>
    <col min="1" max="1" width="18" customWidth="1"/>
    <col min="2" max="2" width="11" customWidth="1"/>
    <col min="3" max="4" width="10" customWidth="1"/>
    <col min="5" max="5" width="16" customWidth="1"/>
    <col min="6" max="6" width="18" customWidth="1"/>
  </cols>
  <sheetData>
    <row r="1" spans="1:6" ht="27" x14ac:dyDescent="0.3">
      <c r="A1" s="9" t="s">
        <v>67</v>
      </c>
      <c r="B1" s="9" t="s">
        <v>68</v>
      </c>
      <c r="C1" s="9" t="s">
        <v>69</v>
      </c>
      <c r="D1" s="9" t="s">
        <v>70</v>
      </c>
      <c r="E1" s="9" t="s">
        <v>71</v>
      </c>
      <c r="F1" s="9" t="s">
        <v>72</v>
      </c>
    </row>
    <row r="2" spans="1:6" x14ac:dyDescent="0.3">
      <c r="A2" s="10" t="s">
        <v>73</v>
      </c>
      <c r="B2" s="10">
        <f>COUNTIF('Test Cases'!$B$2:$B$174,A2)</f>
        <v>18</v>
      </c>
      <c r="C2" s="10">
        <f>COUNTIFS('Test Cases'!$B$2:$B$174,A2,'Test Cases'!$G$2:$G$174,"Pass")</f>
        <v>18</v>
      </c>
      <c r="D2" s="10">
        <f>COUNTIFS('Test Cases'!$B$2:$B$174,A2,'Test Cases'!$G$2:$G$174,"Fail")</f>
        <v>0</v>
      </c>
      <c r="E2" s="10">
        <f t="shared" ref="E2:E13" si="0">B2-C2-D2</f>
        <v>0</v>
      </c>
      <c r="F2" s="17">
        <f t="shared" ref="F2:F14" si="1">IF(C2+D2=0,0,C2/(C2+D2))</f>
        <v>1</v>
      </c>
    </row>
    <row r="3" spans="1:6" x14ac:dyDescent="0.3">
      <c r="A3" s="10" t="s">
        <v>74</v>
      </c>
      <c r="B3" s="10">
        <f>COUNTIF('Test Cases'!$B$2:$B$174,A3)</f>
        <v>15</v>
      </c>
      <c r="C3" s="10">
        <f>COUNTIFS('Test Cases'!$B$2:$B$174,A3,'Test Cases'!$G$2:$G$174,"Pass")</f>
        <v>15</v>
      </c>
      <c r="D3" s="10">
        <f>COUNTIFS('Test Cases'!$B$2:$B$174,A3,'Test Cases'!$G$2:$G$174,"Fail")</f>
        <v>0</v>
      </c>
      <c r="E3" s="10">
        <f t="shared" si="0"/>
        <v>0</v>
      </c>
      <c r="F3" s="17">
        <f t="shared" si="1"/>
        <v>1</v>
      </c>
    </row>
    <row r="4" spans="1:6" x14ac:dyDescent="0.3">
      <c r="A4" s="10" t="s">
        <v>75</v>
      </c>
      <c r="B4" s="10">
        <f>COUNTIF('Test Cases'!$B$2:$B$174,A4)</f>
        <v>12</v>
      </c>
      <c r="C4" s="10">
        <f>COUNTIFS('Test Cases'!$B$2:$B$174,A4,'Test Cases'!$G$2:$G$174,"Pass")</f>
        <v>11</v>
      </c>
      <c r="D4" s="10">
        <f>COUNTIFS('Test Cases'!$B$2:$B$174,A4,'Test Cases'!$G$2:$G$174,"Fail")</f>
        <v>1</v>
      </c>
      <c r="E4" s="10">
        <f t="shared" si="0"/>
        <v>0</v>
      </c>
      <c r="F4" s="17">
        <f t="shared" si="1"/>
        <v>0.91666666666666663</v>
      </c>
    </row>
    <row r="5" spans="1:6" x14ac:dyDescent="0.3">
      <c r="A5" s="10" t="s">
        <v>76</v>
      </c>
      <c r="B5" s="10">
        <f>COUNTIF('Test Cases'!$B$2:$B$174,A5)</f>
        <v>15</v>
      </c>
      <c r="C5" s="10">
        <f>COUNTIFS('Test Cases'!$B$2:$B$174,A5,'Test Cases'!$G$2:$G$174,"Pass")</f>
        <v>14</v>
      </c>
      <c r="D5" s="10">
        <f>COUNTIFS('Test Cases'!$B$2:$B$174,A5,'Test Cases'!$G$2:$G$174,"Fail")</f>
        <v>1</v>
      </c>
      <c r="E5" s="10">
        <f t="shared" si="0"/>
        <v>0</v>
      </c>
      <c r="F5" s="17">
        <f t="shared" si="1"/>
        <v>0.93333333333333335</v>
      </c>
    </row>
    <row r="6" spans="1:6" x14ac:dyDescent="0.3">
      <c r="A6" s="10" t="s">
        <v>77</v>
      </c>
      <c r="B6" s="10">
        <f>COUNTIF('Test Cases'!$B$2:$B$174,A6)</f>
        <v>20</v>
      </c>
      <c r="C6" s="10">
        <f>COUNTIFS('Test Cases'!$B$2:$B$174,A6,'Test Cases'!$G$2:$G$174,"Pass")</f>
        <v>19</v>
      </c>
      <c r="D6" s="10">
        <f>COUNTIFS('Test Cases'!$B$2:$B$174,A6,'Test Cases'!$G$2:$G$174,"Fail")</f>
        <v>1</v>
      </c>
      <c r="E6" s="10">
        <f t="shared" si="0"/>
        <v>0</v>
      </c>
      <c r="F6" s="17">
        <f t="shared" si="1"/>
        <v>0.95</v>
      </c>
    </row>
    <row r="7" spans="1:6" x14ac:dyDescent="0.3">
      <c r="A7" s="10" t="s">
        <v>78</v>
      </c>
      <c r="B7" s="10">
        <f>COUNTIF('Test Cases'!$B$2:$B$174,A7)</f>
        <v>15</v>
      </c>
      <c r="C7" s="10">
        <f>COUNTIFS('Test Cases'!$B$2:$B$174,A7,'Test Cases'!$G$2:$G$174,"Pass")</f>
        <v>14</v>
      </c>
      <c r="D7" s="10">
        <f>COUNTIFS('Test Cases'!$B$2:$B$174,A7,'Test Cases'!$G$2:$G$174,"Fail")</f>
        <v>1</v>
      </c>
      <c r="E7" s="10">
        <f t="shared" si="0"/>
        <v>0</v>
      </c>
      <c r="F7" s="17">
        <f t="shared" si="1"/>
        <v>0.93333333333333335</v>
      </c>
    </row>
    <row r="8" spans="1:6" x14ac:dyDescent="0.3">
      <c r="A8" s="10" t="s">
        <v>79</v>
      </c>
      <c r="B8" s="10">
        <f>COUNTIF('Test Cases'!$B$2:$B$174,A8)</f>
        <v>20</v>
      </c>
      <c r="C8" s="10">
        <f>COUNTIFS('Test Cases'!$B$2:$B$174,A8,'Test Cases'!$G$2:$G$174,"Pass")</f>
        <v>18</v>
      </c>
      <c r="D8" s="10">
        <f>COUNTIFS('Test Cases'!$B$2:$B$174,A8,'Test Cases'!$G$2:$G$174,"Fail")</f>
        <v>2</v>
      </c>
      <c r="E8" s="10">
        <f t="shared" si="0"/>
        <v>0</v>
      </c>
      <c r="F8" s="17">
        <f t="shared" si="1"/>
        <v>0.9</v>
      </c>
    </row>
    <row r="9" spans="1:6" x14ac:dyDescent="0.3">
      <c r="A9" s="10" t="s">
        <v>80</v>
      </c>
      <c r="B9" s="10">
        <f>COUNTIF('Test Cases'!$B$2:$B$174,A9)</f>
        <v>8</v>
      </c>
      <c r="C9" s="10">
        <f>COUNTIFS('Test Cases'!$B$2:$B$174,A9,'Test Cases'!$G$2:$G$174,"Pass")</f>
        <v>8</v>
      </c>
      <c r="D9" s="10">
        <f>COUNTIFS('Test Cases'!$B$2:$B$174,A9,'Test Cases'!$G$2:$G$174,"Fail")</f>
        <v>0</v>
      </c>
      <c r="E9" s="10">
        <f t="shared" si="0"/>
        <v>0</v>
      </c>
      <c r="F9" s="17">
        <f t="shared" si="1"/>
        <v>1</v>
      </c>
    </row>
    <row r="10" spans="1:6" x14ac:dyDescent="0.3">
      <c r="A10" s="10" t="s">
        <v>81</v>
      </c>
      <c r="B10" s="10">
        <f>COUNTIF('Test Cases'!$B$2:$B$174,A10)</f>
        <v>15</v>
      </c>
      <c r="C10" s="10">
        <f>COUNTIFS('Test Cases'!$B$2:$B$174,A10,'Test Cases'!$G$2:$G$174,"Pass")</f>
        <v>14</v>
      </c>
      <c r="D10" s="10">
        <f>COUNTIFS('Test Cases'!$B$2:$B$174,A10,'Test Cases'!$G$2:$G$174,"Fail")</f>
        <v>1</v>
      </c>
      <c r="E10" s="10">
        <f t="shared" si="0"/>
        <v>0</v>
      </c>
      <c r="F10" s="17">
        <f t="shared" si="1"/>
        <v>0.93333333333333335</v>
      </c>
    </row>
    <row r="11" spans="1:6" x14ac:dyDescent="0.3">
      <c r="A11" s="10" t="s">
        <v>82</v>
      </c>
      <c r="B11" s="10">
        <f>COUNTIF('Test Cases'!$B$2:$B$174,A11)</f>
        <v>15</v>
      </c>
      <c r="C11" s="10">
        <f>COUNTIFS('Test Cases'!$B$2:$B$174,A11,'Test Cases'!$G$2:$G$174,"Pass")</f>
        <v>12</v>
      </c>
      <c r="D11" s="10">
        <f>COUNTIFS('Test Cases'!$B$2:$B$174,A11,'Test Cases'!$G$2:$G$174,"Fail")</f>
        <v>3</v>
      </c>
      <c r="E11" s="10">
        <f t="shared" si="0"/>
        <v>0</v>
      </c>
      <c r="F11" s="17">
        <f t="shared" si="1"/>
        <v>0.8</v>
      </c>
    </row>
    <row r="12" spans="1:6" x14ac:dyDescent="0.3">
      <c r="A12" s="10" t="s">
        <v>83</v>
      </c>
      <c r="B12" s="10">
        <f>COUNTIF('Test Cases'!$B$2:$B$174,A12)</f>
        <v>10</v>
      </c>
      <c r="C12" s="10">
        <f>COUNTIFS('Test Cases'!$B$2:$B$174,A12,'Test Cases'!$G$2:$G$174,"Pass")</f>
        <v>10</v>
      </c>
      <c r="D12" s="10">
        <f>COUNTIFS('Test Cases'!$B$2:$B$174,A12,'Test Cases'!$G$2:$G$174,"Fail")</f>
        <v>0</v>
      </c>
      <c r="E12" s="10">
        <f t="shared" si="0"/>
        <v>0</v>
      </c>
      <c r="F12" s="17">
        <f t="shared" si="1"/>
        <v>1</v>
      </c>
    </row>
    <row r="13" spans="1:6" x14ac:dyDescent="0.3">
      <c r="A13" s="10" t="s">
        <v>84</v>
      </c>
      <c r="B13" s="10">
        <f>COUNTIF('Test Cases'!$B$2:$B$174,A13)</f>
        <v>10</v>
      </c>
      <c r="C13" s="10">
        <f>COUNTIFS('Test Cases'!$B$2:$B$174,A13,'Test Cases'!$G$2:$G$174,"Pass")</f>
        <v>10</v>
      </c>
      <c r="D13" s="10">
        <f>COUNTIFS('Test Cases'!$B$2:$B$174,A13,'Test Cases'!$G$2:$G$174,"Fail")</f>
        <v>0</v>
      </c>
      <c r="E13" s="10">
        <f t="shared" si="0"/>
        <v>0</v>
      </c>
      <c r="F13" s="17">
        <f t="shared" si="1"/>
        <v>1</v>
      </c>
    </row>
    <row r="14" spans="1:6" x14ac:dyDescent="0.3">
      <c r="A14" s="18" t="s">
        <v>51</v>
      </c>
      <c r="B14" s="18">
        <f>SUM(B2:B13)</f>
        <v>173</v>
      </c>
      <c r="C14" s="18">
        <f>SUM(C2:C13)</f>
        <v>163</v>
      </c>
      <c r="D14" s="18">
        <f>SUM(D2:D13)</f>
        <v>10</v>
      </c>
      <c r="E14" s="18">
        <f>SUM(E2:E13)</f>
        <v>0</v>
      </c>
      <c r="F14" s="16">
        <f t="shared" si="1"/>
        <v>0.94219653179190754</v>
      </c>
    </row>
    <row r="16" spans="1:6" x14ac:dyDescent="0.3">
      <c r="A16" s="4" t="s">
        <v>85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6"/>
  <sheetViews>
    <sheetView tabSelected="1" zoomScaleNormal="100" workbookViewId="0">
      <pane ySplit="1" topLeftCell="A2" activePane="bottomLeft" state="frozen"/>
      <selection pane="bottomLeft"/>
    </sheetView>
  </sheetViews>
  <sheetFormatPr defaultColWidth="8.6640625" defaultRowHeight="14.8" x14ac:dyDescent="0.3"/>
  <cols>
    <col min="1" max="1" width="10" customWidth="1"/>
    <col min="2" max="2" width="17" customWidth="1"/>
    <col min="3" max="3" width="8" customWidth="1"/>
    <col min="4" max="5" width="38" customWidth="1"/>
    <col min="6" max="6" width="34" customWidth="1"/>
    <col min="7" max="7" width="11" customWidth="1"/>
    <col min="8" max="8" width="10" customWidth="1"/>
  </cols>
  <sheetData>
    <row r="1" spans="1:8" x14ac:dyDescent="0.3">
      <c r="A1" s="9" t="s">
        <v>86</v>
      </c>
      <c r="B1" s="9" t="s">
        <v>67</v>
      </c>
      <c r="C1" s="9" t="s">
        <v>87</v>
      </c>
      <c r="D1" s="9" t="s">
        <v>88</v>
      </c>
      <c r="E1" s="9" t="s">
        <v>89</v>
      </c>
      <c r="F1" s="9" t="s">
        <v>90</v>
      </c>
      <c r="G1" s="9" t="s">
        <v>91</v>
      </c>
      <c r="H1" s="9" t="s">
        <v>92</v>
      </c>
    </row>
    <row r="2" spans="1:8" x14ac:dyDescent="0.3">
      <c r="A2" s="10" t="s">
        <v>93</v>
      </c>
      <c r="B2" s="10" t="s">
        <v>73</v>
      </c>
      <c r="C2" s="10" t="s">
        <v>94</v>
      </c>
      <c r="D2" s="10" t="s">
        <v>95</v>
      </c>
      <c r="E2" s="10" t="s">
        <v>96</v>
      </c>
      <c r="F2" s="24" t="s">
        <v>97</v>
      </c>
      <c r="G2" s="25" t="s">
        <v>98</v>
      </c>
      <c r="H2" s="24"/>
    </row>
    <row r="3" spans="1:8" x14ac:dyDescent="0.3">
      <c r="A3" s="10" t="s">
        <v>99</v>
      </c>
      <c r="B3" s="10" t="s">
        <v>73</v>
      </c>
      <c r="C3" s="10" t="s">
        <v>94</v>
      </c>
      <c r="D3" s="10" t="s">
        <v>100</v>
      </c>
      <c r="E3" s="10" t="s">
        <v>101</v>
      </c>
      <c r="F3" s="24" t="s">
        <v>97</v>
      </c>
      <c r="G3" s="25" t="s">
        <v>98</v>
      </c>
      <c r="H3" s="24"/>
    </row>
    <row r="4" spans="1:8" x14ac:dyDescent="0.3">
      <c r="A4" s="10" t="s">
        <v>102</v>
      </c>
      <c r="B4" s="10" t="s">
        <v>73</v>
      </c>
      <c r="C4" s="10" t="s">
        <v>94</v>
      </c>
      <c r="D4" s="10" t="s">
        <v>103</v>
      </c>
      <c r="E4" s="10" t="s">
        <v>101</v>
      </c>
      <c r="F4" s="24" t="s">
        <v>97</v>
      </c>
      <c r="G4" s="25" t="s">
        <v>98</v>
      </c>
      <c r="H4" s="24"/>
    </row>
    <row r="5" spans="1:8" x14ac:dyDescent="0.3">
      <c r="A5" s="10" t="s">
        <v>104</v>
      </c>
      <c r="B5" s="10" t="s">
        <v>73</v>
      </c>
      <c r="C5" s="10" t="s">
        <v>94</v>
      </c>
      <c r="D5" s="10" t="s">
        <v>105</v>
      </c>
      <c r="E5" s="10" t="s">
        <v>101</v>
      </c>
      <c r="F5" s="24" t="s">
        <v>97</v>
      </c>
      <c r="G5" s="25" t="s">
        <v>98</v>
      </c>
      <c r="H5" s="24"/>
    </row>
    <row r="6" spans="1:8" x14ac:dyDescent="0.3">
      <c r="A6" s="10" t="s">
        <v>106</v>
      </c>
      <c r="B6" s="10" t="s">
        <v>73</v>
      </c>
      <c r="C6" s="10" t="s">
        <v>94</v>
      </c>
      <c r="D6" s="10" t="s">
        <v>107</v>
      </c>
      <c r="E6" s="10" t="s">
        <v>108</v>
      </c>
      <c r="F6" s="24" t="s">
        <v>97</v>
      </c>
      <c r="G6" s="25" t="s">
        <v>98</v>
      </c>
      <c r="H6" s="24"/>
    </row>
    <row r="7" spans="1:8" x14ac:dyDescent="0.3">
      <c r="A7" s="10" t="s">
        <v>109</v>
      </c>
      <c r="B7" s="10" t="s">
        <v>73</v>
      </c>
      <c r="C7" s="10" t="s">
        <v>94</v>
      </c>
      <c r="D7" s="10" t="s">
        <v>110</v>
      </c>
      <c r="E7" s="10" t="s">
        <v>111</v>
      </c>
      <c r="F7" s="24" t="s">
        <v>97</v>
      </c>
      <c r="G7" s="25" t="s">
        <v>98</v>
      </c>
      <c r="H7" s="24"/>
    </row>
    <row r="8" spans="1:8" x14ac:dyDescent="0.3">
      <c r="A8" s="10" t="s">
        <v>112</v>
      </c>
      <c r="B8" s="10" t="s">
        <v>73</v>
      </c>
      <c r="C8" s="10" t="s">
        <v>94</v>
      </c>
      <c r="D8" s="10" t="s">
        <v>113</v>
      </c>
      <c r="E8" s="10" t="s">
        <v>101</v>
      </c>
      <c r="F8" s="24" t="s">
        <v>97</v>
      </c>
      <c r="G8" s="25" t="s">
        <v>98</v>
      </c>
      <c r="H8" s="24"/>
    </row>
    <row r="9" spans="1:8" x14ac:dyDescent="0.3">
      <c r="A9" s="10" t="s">
        <v>114</v>
      </c>
      <c r="B9" s="10" t="s">
        <v>73</v>
      </c>
      <c r="C9" s="10" t="s">
        <v>94</v>
      </c>
      <c r="D9" s="10" t="s">
        <v>115</v>
      </c>
      <c r="E9" s="10" t="s">
        <v>116</v>
      </c>
      <c r="F9" s="24" t="s">
        <v>97</v>
      </c>
      <c r="G9" s="25" t="s">
        <v>98</v>
      </c>
      <c r="H9" s="24"/>
    </row>
    <row r="10" spans="1:8" x14ac:dyDescent="0.3">
      <c r="A10" s="10" t="s">
        <v>117</v>
      </c>
      <c r="B10" s="10" t="s">
        <v>73</v>
      </c>
      <c r="C10" s="10" t="s">
        <v>94</v>
      </c>
      <c r="D10" s="10" t="s">
        <v>118</v>
      </c>
      <c r="E10" s="10" t="s">
        <v>119</v>
      </c>
      <c r="F10" s="24" t="s">
        <v>97</v>
      </c>
      <c r="G10" s="25" t="s">
        <v>98</v>
      </c>
      <c r="H10" s="24"/>
    </row>
    <row r="11" spans="1:8" x14ac:dyDescent="0.3">
      <c r="A11" s="10" t="s">
        <v>120</v>
      </c>
      <c r="B11" s="10" t="s">
        <v>73</v>
      </c>
      <c r="C11" s="10" t="s">
        <v>94</v>
      </c>
      <c r="D11" s="10" t="s">
        <v>121</v>
      </c>
      <c r="E11" s="10" t="s">
        <v>122</v>
      </c>
      <c r="F11" s="24" t="s">
        <v>97</v>
      </c>
      <c r="G11" s="25" t="s">
        <v>98</v>
      </c>
      <c r="H11" s="24"/>
    </row>
    <row r="12" spans="1:8" x14ac:dyDescent="0.3">
      <c r="A12" s="10" t="s">
        <v>123</v>
      </c>
      <c r="B12" s="10" t="s">
        <v>73</v>
      </c>
      <c r="C12" s="10" t="s">
        <v>94</v>
      </c>
      <c r="D12" s="10" t="s">
        <v>124</v>
      </c>
      <c r="E12" s="10" t="s">
        <v>125</v>
      </c>
      <c r="F12" s="24" t="s">
        <v>97</v>
      </c>
      <c r="G12" s="25" t="s">
        <v>98</v>
      </c>
      <c r="H12" s="24"/>
    </row>
    <row r="13" spans="1:8" x14ac:dyDescent="0.3">
      <c r="A13" s="10" t="s">
        <v>126</v>
      </c>
      <c r="B13" s="10" t="s">
        <v>73</v>
      </c>
      <c r="C13" s="10" t="s">
        <v>94</v>
      </c>
      <c r="D13" s="10" t="s">
        <v>127</v>
      </c>
      <c r="E13" s="10" t="s">
        <v>101</v>
      </c>
      <c r="F13" s="24" t="s">
        <v>97</v>
      </c>
      <c r="G13" s="25" t="s">
        <v>98</v>
      </c>
      <c r="H13" s="24"/>
    </row>
    <row r="14" spans="1:8" x14ac:dyDescent="0.3">
      <c r="A14" s="10" t="s">
        <v>128</v>
      </c>
      <c r="B14" s="10" t="s">
        <v>73</v>
      </c>
      <c r="C14" s="10" t="s">
        <v>94</v>
      </c>
      <c r="D14" s="10" t="s">
        <v>129</v>
      </c>
      <c r="E14" s="10" t="s">
        <v>130</v>
      </c>
      <c r="F14" s="24" t="s">
        <v>97</v>
      </c>
      <c r="G14" s="25" t="s">
        <v>98</v>
      </c>
      <c r="H14" s="24"/>
    </row>
    <row r="15" spans="1:8" x14ac:dyDescent="0.3">
      <c r="A15" s="10" t="s">
        <v>131</v>
      </c>
      <c r="B15" s="10" t="s">
        <v>73</v>
      </c>
      <c r="C15" s="10" t="s">
        <v>94</v>
      </c>
      <c r="D15" s="10" t="s">
        <v>132</v>
      </c>
      <c r="E15" s="10" t="s">
        <v>133</v>
      </c>
      <c r="F15" s="24" t="s">
        <v>97</v>
      </c>
      <c r="G15" s="25" t="s">
        <v>98</v>
      </c>
      <c r="H15" s="24"/>
    </row>
    <row r="16" spans="1:8" x14ac:dyDescent="0.3">
      <c r="A16" s="10" t="s">
        <v>134</v>
      </c>
      <c r="B16" s="10" t="s">
        <v>73</v>
      </c>
      <c r="C16" s="10" t="s">
        <v>94</v>
      </c>
      <c r="D16" s="10" t="s">
        <v>135</v>
      </c>
      <c r="E16" s="10" t="s">
        <v>136</v>
      </c>
      <c r="F16" s="24" t="s">
        <v>97</v>
      </c>
      <c r="G16" s="25" t="s">
        <v>98</v>
      </c>
      <c r="H16" s="24"/>
    </row>
    <row r="17" spans="1:8" x14ac:dyDescent="0.3">
      <c r="A17" s="10" t="s">
        <v>137</v>
      </c>
      <c r="B17" s="10" t="s">
        <v>73</v>
      </c>
      <c r="C17" s="10" t="s">
        <v>94</v>
      </c>
      <c r="D17" s="10" t="s">
        <v>138</v>
      </c>
      <c r="E17" s="10" t="s">
        <v>139</v>
      </c>
      <c r="F17" s="24" t="s">
        <v>97</v>
      </c>
      <c r="G17" s="25" t="s">
        <v>98</v>
      </c>
      <c r="H17" s="24"/>
    </row>
    <row r="18" spans="1:8" x14ac:dyDescent="0.3">
      <c r="A18" s="10" t="s">
        <v>140</v>
      </c>
      <c r="B18" s="10" t="s">
        <v>73</v>
      </c>
      <c r="C18" s="10" t="s">
        <v>94</v>
      </c>
      <c r="D18" s="10" t="s">
        <v>141</v>
      </c>
      <c r="E18" s="10" t="s">
        <v>142</v>
      </c>
      <c r="F18" s="24" t="s">
        <v>97</v>
      </c>
      <c r="G18" s="25" t="s">
        <v>98</v>
      </c>
      <c r="H18" s="24"/>
    </row>
    <row r="19" spans="1:8" x14ac:dyDescent="0.3">
      <c r="A19" s="10" t="s">
        <v>143</v>
      </c>
      <c r="B19" s="10" t="s">
        <v>73</v>
      </c>
      <c r="C19" s="10" t="s">
        <v>94</v>
      </c>
      <c r="D19" s="10" t="s">
        <v>144</v>
      </c>
      <c r="E19" s="10" t="s">
        <v>145</v>
      </c>
      <c r="F19" s="24" t="s">
        <v>97</v>
      </c>
      <c r="G19" s="25" t="s">
        <v>98</v>
      </c>
      <c r="H19" s="24"/>
    </row>
    <row r="20" spans="1:8" x14ac:dyDescent="0.3">
      <c r="A20" s="10" t="s">
        <v>146</v>
      </c>
      <c r="B20" s="10" t="s">
        <v>74</v>
      </c>
      <c r="C20" s="10" t="s">
        <v>147</v>
      </c>
      <c r="D20" s="10" t="s">
        <v>148</v>
      </c>
      <c r="E20" s="10" t="s">
        <v>149</v>
      </c>
      <c r="F20" s="24" t="s">
        <v>97</v>
      </c>
      <c r="G20" s="25" t="s">
        <v>98</v>
      </c>
      <c r="H20" s="24"/>
    </row>
    <row r="21" spans="1:8" x14ac:dyDescent="0.3">
      <c r="A21" s="10" t="s">
        <v>150</v>
      </c>
      <c r="B21" s="10" t="s">
        <v>74</v>
      </c>
      <c r="C21" s="10" t="s">
        <v>147</v>
      </c>
      <c r="D21" s="10" t="s">
        <v>151</v>
      </c>
      <c r="E21" s="10" t="s">
        <v>119</v>
      </c>
      <c r="F21" s="24" t="s">
        <v>97</v>
      </c>
      <c r="G21" s="25" t="s">
        <v>98</v>
      </c>
      <c r="H21" s="24"/>
    </row>
    <row r="22" spans="1:8" x14ac:dyDescent="0.3">
      <c r="A22" s="10" t="s">
        <v>152</v>
      </c>
      <c r="B22" s="10" t="s">
        <v>74</v>
      </c>
      <c r="C22" s="10" t="s">
        <v>147</v>
      </c>
      <c r="D22" s="10" t="s">
        <v>153</v>
      </c>
      <c r="E22" s="10" t="s">
        <v>119</v>
      </c>
      <c r="F22" s="24" t="s">
        <v>97</v>
      </c>
      <c r="G22" s="25" t="s">
        <v>98</v>
      </c>
      <c r="H22" s="24"/>
    </row>
    <row r="23" spans="1:8" x14ac:dyDescent="0.3">
      <c r="A23" s="10" t="s">
        <v>154</v>
      </c>
      <c r="B23" s="10" t="s">
        <v>74</v>
      </c>
      <c r="C23" s="10" t="s">
        <v>147</v>
      </c>
      <c r="D23" s="10" t="s">
        <v>155</v>
      </c>
      <c r="E23" s="10" t="s">
        <v>101</v>
      </c>
      <c r="F23" s="24" t="s">
        <v>97</v>
      </c>
      <c r="G23" s="25" t="s">
        <v>98</v>
      </c>
      <c r="H23" s="24"/>
    </row>
    <row r="24" spans="1:8" x14ac:dyDescent="0.3">
      <c r="A24" s="10" t="s">
        <v>156</v>
      </c>
      <c r="B24" s="10" t="s">
        <v>74</v>
      </c>
      <c r="C24" s="10" t="s">
        <v>147</v>
      </c>
      <c r="D24" s="10" t="s">
        <v>157</v>
      </c>
      <c r="E24" s="10" t="s">
        <v>101</v>
      </c>
      <c r="F24" s="24" t="s">
        <v>97</v>
      </c>
      <c r="G24" s="25" t="s">
        <v>98</v>
      </c>
      <c r="H24" s="24"/>
    </row>
    <row r="25" spans="1:8" x14ac:dyDescent="0.3">
      <c r="A25" s="10" t="s">
        <v>158</v>
      </c>
      <c r="B25" s="10" t="s">
        <v>74</v>
      </c>
      <c r="C25" s="10" t="s">
        <v>147</v>
      </c>
      <c r="D25" s="10" t="s">
        <v>159</v>
      </c>
      <c r="E25" s="10" t="s">
        <v>101</v>
      </c>
      <c r="F25" s="24" t="s">
        <v>97</v>
      </c>
      <c r="G25" s="25" t="s">
        <v>98</v>
      </c>
      <c r="H25" s="24"/>
    </row>
    <row r="26" spans="1:8" x14ac:dyDescent="0.3">
      <c r="A26" s="10" t="s">
        <v>160</v>
      </c>
      <c r="B26" s="10" t="s">
        <v>74</v>
      </c>
      <c r="C26" s="10" t="s">
        <v>147</v>
      </c>
      <c r="D26" s="10" t="s">
        <v>161</v>
      </c>
      <c r="E26" s="10" t="s">
        <v>162</v>
      </c>
      <c r="F26" s="24" t="s">
        <v>97</v>
      </c>
      <c r="G26" s="25" t="s">
        <v>98</v>
      </c>
      <c r="H26" s="24"/>
    </row>
    <row r="27" spans="1:8" x14ac:dyDescent="0.3">
      <c r="A27" s="10" t="s">
        <v>163</v>
      </c>
      <c r="B27" s="10" t="s">
        <v>74</v>
      </c>
      <c r="C27" s="10" t="s">
        <v>147</v>
      </c>
      <c r="D27" s="10" t="s">
        <v>164</v>
      </c>
      <c r="E27" s="10" t="s">
        <v>165</v>
      </c>
      <c r="F27" s="24" t="s">
        <v>97</v>
      </c>
      <c r="G27" s="25" t="s">
        <v>98</v>
      </c>
      <c r="H27" s="24"/>
    </row>
    <row r="28" spans="1:8" x14ac:dyDescent="0.3">
      <c r="A28" s="10" t="s">
        <v>166</v>
      </c>
      <c r="B28" s="10" t="s">
        <v>74</v>
      </c>
      <c r="C28" s="10" t="s">
        <v>147</v>
      </c>
      <c r="D28" s="10" t="s">
        <v>167</v>
      </c>
      <c r="E28" s="10" t="s">
        <v>168</v>
      </c>
      <c r="F28" s="24" t="s">
        <v>97</v>
      </c>
      <c r="G28" s="25" t="s">
        <v>98</v>
      </c>
      <c r="H28" s="24"/>
    </row>
    <row r="29" spans="1:8" x14ac:dyDescent="0.3">
      <c r="A29" s="10" t="s">
        <v>169</v>
      </c>
      <c r="B29" s="10" t="s">
        <v>74</v>
      </c>
      <c r="C29" s="10" t="s">
        <v>147</v>
      </c>
      <c r="D29" s="10" t="s">
        <v>170</v>
      </c>
      <c r="E29" s="10" t="s">
        <v>171</v>
      </c>
      <c r="F29" s="24" t="s">
        <v>97</v>
      </c>
      <c r="G29" s="25" t="s">
        <v>98</v>
      </c>
      <c r="H29" s="24"/>
    </row>
    <row r="30" spans="1:8" x14ac:dyDescent="0.3">
      <c r="A30" s="10" t="s">
        <v>172</v>
      </c>
      <c r="B30" s="10" t="s">
        <v>74</v>
      </c>
      <c r="C30" s="10" t="s">
        <v>147</v>
      </c>
      <c r="D30" s="10" t="s">
        <v>173</v>
      </c>
      <c r="E30" s="10" t="s">
        <v>101</v>
      </c>
      <c r="F30" s="24" t="s">
        <v>97</v>
      </c>
      <c r="G30" s="25" t="s">
        <v>98</v>
      </c>
      <c r="H30" s="24"/>
    </row>
    <row r="31" spans="1:8" x14ac:dyDescent="0.3">
      <c r="A31" s="10" t="s">
        <v>174</v>
      </c>
      <c r="B31" s="10" t="s">
        <v>74</v>
      </c>
      <c r="C31" s="10" t="s">
        <v>147</v>
      </c>
      <c r="D31" s="10" t="s">
        <v>175</v>
      </c>
      <c r="E31" s="10" t="s">
        <v>176</v>
      </c>
      <c r="F31" s="24" t="s">
        <v>97</v>
      </c>
      <c r="G31" s="25" t="s">
        <v>98</v>
      </c>
      <c r="H31" s="24"/>
    </row>
    <row r="32" spans="1:8" x14ac:dyDescent="0.3">
      <c r="A32" s="10" t="s">
        <v>177</v>
      </c>
      <c r="B32" s="10" t="s">
        <v>74</v>
      </c>
      <c r="C32" s="10" t="s">
        <v>147</v>
      </c>
      <c r="D32" s="10" t="s">
        <v>178</v>
      </c>
      <c r="E32" s="10" t="s">
        <v>179</v>
      </c>
      <c r="F32" s="24" t="s">
        <v>97</v>
      </c>
      <c r="G32" s="25" t="s">
        <v>98</v>
      </c>
      <c r="H32" s="24"/>
    </row>
    <row r="33" spans="1:8" x14ac:dyDescent="0.3">
      <c r="A33" s="10" t="s">
        <v>180</v>
      </c>
      <c r="B33" s="10" t="s">
        <v>74</v>
      </c>
      <c r="C33" s="10" t="s">
        <v>147</v>
      </c>
      <c r="D33" s="10" t="s">
        <v>181</v>
      </c>
      <c r="E33" s="10" t="s">
        <v>182</v>
      </c>
      <c r="F33" s="24" t="s">
        <v>97</v>
      </c>
      <c r="G33" s="25" t="s">
        <v>98</v>
      </c>
      <c r="H33" s="24"/>
    </row>
    <row r="34" spans="1:8" x14ac:dyDescent="0.3">
      <c r="A34" s="10" t="s">
        <v>183</v>
      </c>
      <c r="B34" s="10" t="s">
        <v>74</v>
      </c>
      <c r="C34" s="10" t="s">
        <v>147</v>
      </c>
      <c r="D34" s="10" t="s">
        <v>184</v>
      </c>
      <c r="E34" s="10" t="s">
        <v>185</v>
      </c>
      <c r="F34" s="24" t="s">
        <v>97</v>
      </c>
      <c r="G34" s="25" t="s">
        <v>98</v>
      </c>
      <c r="H34" s="24"/>
    </row>
    <row r="35" spans="1:8" x14ac:dyDescent="0.3">
      <c r="A35" s="10" t="s">
        <v>186</v>
      </c>
      <c r="B35" s="10" t="s">
        <v>75</v>
      </c>
      <c r="C35" s="10" t="s">
        <v>187</v>
      </c>
      <c r="D35" s="10" t="s">
        <v>188</v>
      </c>
      <c r="E35" s="10" t="s">
        <v>189</v>
      </c>
      <c r="F35" s="24" t="s">
        <v>97</v>
      </c>
      <c r="G35" s="25" t="s">
        <v>98</v>
      </c>
      <c r="H35" s="24"/>
    </row>
    <row r="36" spans="1:8" x14ac:dyDescent="0.3">
      <c r="A36" s="10" t="s">
        <v>190</v>
      </c>
      <c r="B36" s="10" t="s">
        <v>75</v>
      </c>
      <c r="C36" s="10" t="s">
        <v>187</v>
      </c>
      <c r="D36" s="10" t="s">
        <v>191</v>
      </c>
      <c r="E36" s="10" t="s">
        <v>192</v>
      </c>
      <c r="F36" s="24" t="s">
        <v>97</v>
      </c>
      <c r="G36" s="25" t="s">
        <v>98</v>
      </c>
      <c r="H36" s="24"/>
    </row>
    <row r="37" spans="1:8" x14ac:dyDescent="0.3">
      <c r="A37" s="10" t="s">
        <v>193</v>
      </c>
      <c r="B37" s="10" t="s">
        <v>75</v>
      </c>
      <c r="C37" s="10" t="s">
        <v>187</v>
      </c>
      <c r="D37" s="10" t="s">
        <v>194</v>
      </c>
      <c r="E37" s="10" t="s">
        <v>195</v>
      </c>
      <c r="F37" s="24" t="s">
        <v>97</v>
      </c>
      <c r="G37" s="25" t="s">
        <v>98</v>
      </c>
      <c r="H37" s="24"/>
    </row>
    <row r="38" spans="1:8" x14ac:dyDescent="0.3">
      <c r="A38" s="10" t="s">
        <v>196</v>
      </c>
      <c r="B38" s="10" t="s">
        <v>75</v>
      </c>
      <c r="C38" s="10" t="s">
        <v>187</v>
      </c>
      <c r="D38" s="10" t="s">
        <v>197</v>
      </c>
      <c r="E38" s="10" t="s">
        <v>198</v>
      </c>
      <c r="F38" s="24" t="s">
        <v>97</v>
      </c>
      <c r="G38" s="25" t="s">
        <v>98</v>
      </c>
      <c r="H38" s="24"/>
    </row>
    <row r="39" spans="1:8" x14ac:dyDescent="0.3">
      <c r="A39" s="10" t="s">
        <v>199</v>
      </c>
      <c r="B39" s="10" t="s">
        <v>75</v>
      </c>
      <c r="C39" s="10" t="s">
        <v>187</v>
      </c>
      <c r="D39" s="10" t="s">
        <v>200</v>
      </c>
      <c r="E39" s="10" t="s">
        <v>201</v>
      </c>
      <c r="F39" s="24" t="s">
        <v>97</v>
      </c>
      <c r="G39" s="25" t="s">
        <v>98</v>
      </c>
      <c r="H39" s="24"/>
    </row>
    <row r="40" spans="1:8" x14ac:dyDescent="0.3">
      <c r="A40" s="10" t="s">
        <v>202</v>
      </c>
      <c r="B40" s="10" t="s">
        <v>75</v>
      </c>
      <c r="C40" s="10" t="s">
        <v>187</v>
      </c>
      <c r="D40" s="10" t="s">
        <v>203</v>
      </c>
      <c r="E40" s="10" t="s">
        <v>204</v>
      </c>
      <c r="F40" s="24" t="s">
        <v>97</v>
      </c>
      <c r="G40" s="25" t="s">
        <v>98</v>
      </c>
      <c r="H40" s="24"/>
    </row>
    <row r="41" spans="1:8" x14ac:dyDescent="0.3">
      <c r="A41" s="10" t="s">
        <v>205</v>
      </c>
      <c r="B41" s="10" t="s">
        <v>75</v>
      </c>
      <c r="C41" s="10" t="s">
        <v>187</v>
      </c>
      <c r="D41" s="10" t="s">
        <v>206</v>
      </c>
      <c r="E41" s="10" t="s">
        <v>207</v>
      </c>
      <c r="F41" s="24" t="s">
        <v>97</v>
      </c>
      <c r="G41" s="25" t="s">
        <v>98</v>
      </c>
      <c r="H41" s="24"/>
    </row>
    <row r="42" spans="1:8" x14ac:dyDescent="0.3">
      <c r="A42" s="10" t="s">
        <v>208</v>
      </c>
      <c r="B42" s="10" t="s">
        <v>75</v>
      </c>
      <c r="C42" s="10" t="s">
        <v>187</v>
      </c>
      <c r="D42" s="10" t="s">
        <v>209</v>
      </c>
      <c r="E42" s="10" t="s">
        <v>210</v>
      </c>
      <c r="F42" s="24" t="s">
        <v>97</v>
      </c>
      <c r="G42" s="25" t="s">
        <v>98</v>
      </c>
      <c r="H42" s="24"/>
    </row>
    <row r="43" spans="1:8" x14ac:dyDescent="0.3">
      <c r="A43" s="10" t="s">
        <v>211</v>
      </c>
      <c r="B43" s="10" t="s">
        <v>75</v>
      </c>
      <c r="C43" s="10" t="s">
        <v>187</v>
      </c>
      <c r="D43" s="10" t="s">
        <v>212</v>
      </c>
      <c r="E43" s="10" t="s">
        <v>201</v>
      </c>
      <c r="F43" s="24" t="s">
        <v>97</v>
      </c>
      <c r="G43" s="25" t="s">
        <v>98</v>
      </c>
      <c r="H43" s="24"/>
    </row>
    <row r="44" spans="1:8" x14ac:dyDescent="0.3">
      <c r="A44" s="10" t="s">
        <v>213</v>
      </c>
      <c r="B44" s="10" t="s">
        <v>75</v>
      </c>
      <c r="C44" s="10" t="s">
        <v>187</v>
      </c>
      <c r="D44" s="10" t="s">
        <v>214</v>
      </c>
      <c r="E44" s="10" t="s">
        <v>215</v>
      </c>
      <c r="F44" s="24" t="s">
        <v>97</v>
      </c>
      <c r="G44" s="25" t="s">
        <v>98</v>
      </c>
      <c r="H44" s="24"/>
    </row>
    <row r="45" spans="1:8" x14ac:dyDescent="0.3">
      <c r="A45" s="10" t="s">
        <v>216</v>
      </c>
      <c r="B45" s="10" t="s">
        <v>75</v>
      </c>
      <c r="C45" s="10" t="s">
        <v>187</v>
      </c>
      <c r="D45" s="10" t="s">
        <v>217</v>
      </c>
      <c r="E45" s="10" t="s">
        <v>218</v>
      </c>
      <c r="F45" s="24" t="s">
        <v>97</v>
      </c>
      <c r="G45" s="25" t="s">
        <v>98</v>
      </c>
      <c r="H45" s="24"/>
    </row>
    <row r="46" spans="1:8" x14ac:dyDescent="0.3">
      <c r="A46" s="10" t="s">
        <v>219</v>
      </c>
      <c r="B46" s="10" t="s">
        <v>75</v>
      </c>
      <c r="C46" s="10" t="s">
        <v>187</v>
      </c>
      <c r="D46" s="10" t="s">
        <v>220</v>
      </c>
      <c r="E46" s="10" t="s">
        <v>221</v>
      </c>
      <c r="F46" s="24" t="s">
        <v>222</v>
      </c>
      <c r="G46" s="25" t="s">
        <v>223</v>
      </c>
      <c r="H46" s="24" t="s">
        <v>224</v>
      </c>
    </row>
    <row r="47" spans="1:8" x14ac:dyDescent="0.3">
      <c r="A47" s="10" t="s">
        <v>225</v>
      </c>
      <c r="B47" s="10" t="s">
        <v>76</v>
      </c>
      <c r="C47" s="10" t="s">
        <v>226</v>
      </c>
      <c r="D47" s="10" t="s">
        <v>227</v>
      </c>
      <c r="E47" s="10" t="s">
        <v>228</v>
      </c>
      <c r="F47" s="24" t="s">
        <v>97</v>
      </c>
      <c r="G47" s="25" t="s">
        <v>98</v>
      </c>
      <c r="H47" s="24"/>
    </row>
    <row r="48" spans="1:8" x14ac:dyDescent="0.3">
      <c r="A48" s="10" t="s">
        <v>229</v>
      </c>
      <c r="B48" s="10" t="s">
        <v>76</v>
      </c>
      <c r="C48" s="10" t="s">
        <v>226</v>
      </c>
      <c r="D48" s="10" t="s">
        <v>230</v>
      </c>
      <c r="E48" s="10" t="s">
        <v>231</v>
      </c>
      <c r="F48" s="24" t="s">
        <v>97</v>
      </c>
      <c r="G48" s="25" t="s">
        <v>98</v>
      </c>
      <c r="H48" s="24"/>
    </row>
    <row r="49" spans="1:8" x14ac:dyDescent="0.3">
      <c r="A49" s="10" t="s">
        <v>232</v>
      </c>
      <c r="B49" s="10" t="s">
        <v>76</v>
      </c>
      <c r="C49" s="10" t="s">
        <v>226</v>
      </c>
      <c r="D49" s="10" t="s">
        <v>233</v>
      </c>
      <c r="E49" s="10" t="s">
        <v>234</v>
      </c>
      <c r="F49" s="24" t="s">
        <v>97</v>
      </c>
      <c r="G49" s="25" t="s">
        <v>98</v>
      </c>
      <c r="H49" s="24"/>
    </row>
    <row r="50" spans="1:8" x14ac:dyDescent="0.3">
      <c r="A50" s="10" t="s">
        <v>235</v>
      </c>
      <c r="B50" s="10" t="s">
        <v>76</v>
      </c>
      <c r="C50" s="10" t="s">
        <v>226</v>
      </c>
      <c r="D50" s="10" t="s">
        <v>236</v>
      </c>
      <c r="E50" s="10" t="s">
        <v>237</v>
      </c>
      <c r="F50" s="24" t="s">
        <v>97</v>
      </c>
      <c r="G50" s="25" t="s">
        <v>98</v>
      </c>
      <c r="H50" s="24"/>
    </row>
    <row r="51" spans="1:8" x14ac:dyDescent="0.3">
      <c r="A51" s="10" t="s">
        <v>238</v>
      </c>
      <c r="B51" s="10" t="s">
        <v>76</v>
      </c>
      <c r="C51" s="10" t="s">
        <v>226</v>
      </c>
      <c r="D51" s="10" t="s">
        <v>239</v>
      </c>
      <c r="E51" s="10" t="s">
        <v>237</v>
      </c>
      <c r="F51" s="24" t="s">
        <v>97</v>
      </c>
      <c r="G51" s="25" t="s">
        <v>98</v>
      </c>
      <c r="H51" s="24"/>
    </row>
    <row r="52" spans="1:8" x14ac:dyDescent="0.3">
      <c r="A52" s="10" t="s">
        <v>240</v>
      </c>
      <c r="B52" s="10" t="s">
        <v>76</v>
      </c>
      <c r="C52" s="10" t="s">
        <v>226</v>
      </c>
      <c r="D52" s="10" t="s">
        <v>241</v>
      </c>
      <c r="E52" s="10" t="s">
        <v>242</v>
      </c>
      <c r="F52" s="24" t="s">
        <v>97</v>
      </c>
      <c r="G52" s="25" t="s">
        <v>98</v>
      </c>
      <c r="H52" s="24"/>
    </row>
    <row r="53" spans="1:8" x14ac:dyDescent="0.3">
      <c r="A53" s="10" t="s">
        <v>243</v>
      </c>
      <c r="B53" s="10" t="s">
        <v>76</v>
      </c>
      <c r="C53" s="10" t="s">
        <v>226</v>
      </c>
      <c r="D53" s="10" t="s">
        <v>244</v>
      </c>
      <c r="E53" s="10" t="s">
        <v>245</v>
      </c>
      <c r="F53" s="24" t="s">
        <v>97</v>
      </c>
      <c r="G53" s="25" t="s">
        <v>98</v>
      </c>
      <c r="H53" s="24"/>
    </row>
    <row r="54" spans="1:8" x14ac:dyDescent="0.3">
      <c r="A54" s="10" t="s">
        <v>246</v>
      </c>
      <c r="B54" s="10" t="s">
        <v>76</v>
      </c>
      <c r="C54" s="10" t="s">
        <v>226</v>
      </c>
      <c r="D54" s="10" t="s">
        <v>247</v>
      </c>
      <c r="E54" s="10" t="s">
        <v>248</v>
      </c>
      <c r="F54" s="24" t="s">
        <v>97</v>
      </c>
      <c r="G54" s="25" t="s">
        <v>98</v>
      </c>
      <c r="H54" s="24"/>
    </row>
    <row r="55" spans="1:8" ht="25.75" x14ac:dyDescent="0.3">
      <c r="A55" s="10" t="s">
        <v>249</v>
      </c>
      <c r="B55" s="10" t="s">
        <v>76</v>
      </c>
      <c r="C55" s="10" t="s">
        <v>226</v>
      </c>
      <c r="D55" s="10" t="s">
        <v>250</v>
      </c>
      <c r="E55" s="10" t="s">
        <v>251</v>
      </c>
      <c r="F55" s="24" t="s">
        <v>252</v>
      </c>
      <c r="G55" s="25" t="s">
        <v>223</v>
      </c>
      <c r="H55" s="24" t="s">
        <v>253</v>
      </c>
    </row>
    <row r="56" spans="1:8" x14ac:dyDescent="0.3">
      <c r="A56" s="10" t="s">
        <v>254</v>
      </c>
      <c r="B56" s="10" t="s">
        <v>76</v>
      </c>
      <c r="C56" s="10" t="s">
        <v>226</v>
      </c>
      <c r="D56" s="10" t="s">
        <v>255</v>
      </c>
      <c r="E56" s="10" t="s">
        <v>256</v>
      </c>
      <c r="F56" s="24" t="s">
        <v>97</v>
      </c>
      <c r="G56" s="25" t="s">
        <v>98</v>
      </c>
      <c r="H56" s="24"/>
    </row>
    <row r="57" spans="1:8" x14ac:dyDescent="0.3">
      <c r="A57" s="10" t="s">
        <v>257</v>
      </c>
      <c r="B57" s="10" t="s">
        <v>76</v>
      </c>
      <c r="C57" s="10" t="s">
        <v>226</v>
      </c>
      <c r="D57" s="10" t="s">
        <v>258</v>
      </c>
      <c r="E57" s="10" t="s">
        <v>259</v>
      </c>
      <c r="F57" s="24" t="s">
        <v>97</v>
      </c>
      <c r="G57" s="25" t="s">
        <v>98</v>
      </c>
      <c r="H57" s="24"/>
    </row>
    <row r="58" spans="1:8" x14ac:dyDescent="0.3">
      <c r="A58" s="10" t="s">
        <v>260</v>
      </c>
      <c r="B58" s="10" t="s">
        <v>76</v>
      </c>
      <c r="C58" s="10" t="s">
        <v>226</v>
      </c>
      <c r="D58" s="10" t="s">
        <v>261</v>
      </c>
      <c r="E58" s="10" t="s">
        <v>262</v>
      </c>
      <c r="F58" s="24" t="s">
        <v>97</v>
      </c>
      <c r="G58" s="25" t="s">
        <v>98</v>
      </c>
      <c r="H58" s="24"/>
    </row>
    <row r="59" spans="1:8" x14ac:dyDescent="0.3">
      <c r="A59" s="10" t="s">
        <v>263</v>
      </c>
      <c r="B59" s="10" t="s">
        <v>76</v>
      </c>
      <c r="C59" s="10" t="s">
        <v>226</v>
      </c>
      <c r="D59" s="10" t="s">
        <v>264</v>
      </c>
      <c r="E59" s="10" t="s">
        <v>265</v>
      </c>
      <c r="F59" s="24" t="s">
        <v>97</v>
      </c>
      <c r="G59" s="25" t="s">
        <v>98</v>
      </c>
      <c r="H59" s="24"/>
    </row>
    <row r="60" spans="1:8" x14ac:dyDescent="0.3">
      <c r="A60" s="10" t="s">
        <v>266</v>
      </c>
      <c r="B60" s="10" t="s">
        <v>76</v>
      </c>
      <c r="C60" s="10" t="s">
        <v>226</v>
      </c>
      <c r="D60" s="10" t="s">
        <v>267</v>
      </c>
      <c r="E60" s="10" t="s">
        <v>268</v>
      </c>
      <c r="F60" s="24" t="s">
        <v>97</v>
      </c>
      <c r="G60" s="25" t="s">
        <v>98</v>
      </c>
      <c r="H60" s="24"/>
    </row>
    <row r="61" spans="1:8" x14ac:dyDescent="0.3">
      <c r="A61" s="10" t="s">
        <v>269</v>
      </c>
      <c r="B61" s="10" t="s">
        <v>76</v>
      </c>
      <c r="C61" s="10" t="s">
        <v>226</v>
      </c>
      <c r="D61" s="10" t="s">
        <v>270</v>
      </c>
      <c r="E61" s="10" t="s">
        <v>271</v>
      </c>
      <c r="F61" s="24" t="s">
        <v>97</v>
      </c>
      <c r="G61" s="25" t="s">
        <v>98</v>
      </c>
      <c r="H61" s="24"/>
    </row>
    <row r="62" spans="1:8" x14ac:dyDescent="0.3">
      <c r="A62" s="10" t="s">
        <v>272</v>
      </c>
      <c r="B62" s="10" t="s">
        <v>77</v>
      </c>
      <c r="C62" s="10" t="s">
        <v>273</v>
      </c>
      <c r="D62" s="10" t="s">
        <v>274</v>
      </c>
      <c r="E62" s="10" t="s">
        <v>275</v>
      </c>
      <c r="F62" s="24" t="s">
        <v>97</v>
      </c>
      <c r="G62" s="25" t="s">
        <v>98</v>
      </c>
      <c r="H62" s="24"/>
    </row>
    <row r="63" spans="1:8" x14ac:dyDescent="0.3">
      <c r="A63" s="10" t="s">
        <v>276</v>
      </c>
      <c r="B63" s="10" t="s">
        <v>77</v>
      </c>
      <c r="C63" s="10" t="s">
        <v>273</v>
      </c>
      <c r="D63" s="10" t="s">
        <v>277</v>
      </c>
      <c r="E63" s="10" t="s">
        <v>278</v>
      </c>
      <c r="F63" s="24" t="s">
        <v>97</v>
      </c>
      <c r="G63" s="25" t="s">
        <v>98</v>
      </c>
      <c r="H63" s="24"/>
    </row>
    <row r="64" spans="1:8" x14ac:dyDescent="0.3">
      <c r="A64" s="10" t="s">
        <v>279</v>
      </c>
      <c r="B64" s="10" t="s">
        <v>77</v>
      </c>
      <c r="C64" s="10" t="s">
        <v>273</v>
      </c>
      <c r="D64" s="10" t="s">
        <v>280</v>
      </c>
      <c r="E64" s="10" t="s">
        <v>281</v>
      </c>
      <c r="F64" s="24" t="s">
        <v>97</v>
      </c>
      <c r="G64" s="25" t="s">
        <v>98</v>
      </c>
      <c r="H64" s="24"/>
    </row>
    <row r="65" spans="1:8" x14ac:dyDescent="0.3">
      <c r="A65" s="10" t="s">
        <v>282</v>
      </c>
      <c r="B65" s="10" t="s">
        <v>77</v>
      </c>
      <c r="C65" s="10" t="s">
        <v>273</v>
      </c>
      <c r="D65" s="10" t="s">
        <v>283</v>
      </c>
      <c r="E65" s="10" t="s">
        <v>284</v>
      </c>
      <c r="F65" s="24" t="s">
        <v>97</v>
      </c>
      <c r="G65" s="25" t="s">
        <v>98</v>
      </c>
      <c r="H65" s="24"/>
    </row>
    <row r="66" spans="1:8" x14ac:dyDescent="0.3">
      <c r="A66" s="10" t="s">
        <v>285</v>
      </c>
      <c r="B66" s="10" t="s">
        <v>77</v>
      </c>
      <c r="C66" s="10" t="s">
        <v>273</v>
      </c>
      <c r="D66" s="10" t="s">
        <v>286</v>
      </c>
      <c r="E66" s="10" t="s">
        <v>287</v>
      </c>
      <c r="F66" s="24" t="s">
        <v>97</v>
      </c>
      <c r="G66" s="25" t="s">
        <v>98</v>
      </c>
      <c r="H66" s="24"/>
    </row>
    <row r="67" spans="1:8" x14ac:dyDescent="0.3">
      <c r="A67" s="10" t="s">
        <v>288</v>
      </c>
      <c r="B67" s="10" t="s">
        <v>77</v>
      </c>
      <c r="C67" s="10" t="s">
        <v>273</v>
      </c>
      <c r="D67" s="10" t="s">
        <v>289</v>
      </c>
      <c r="E67" s="10" t="s">
        <v>290</v>
      </c>
      <c r="F67" s="24" t="s">
        <v>97</v>
      </c>
      <c r="G67" s="25" t="s">
        <v>98</v>
      </c>
      <c r="H67" s="24"/>
    </row>
    <row r="68" spans="1:8" x14ac:dyDescent="0.3">
      <c r="A68" s="10" t="s">
        <v>291</v>
      </c>
      <c r="B68" s="10" t="s">
        <v>77</v>
      </c>
      <c r="C68" s="10" t="s">
        <v>273</v>
      </c>
      <c r="D68" s="10" t="s">
        <v>292</v>
      </c>
      <c r="E68" s="10" t="s">
        <v>293</v>
      </c>
      <c r="F68" s="24" t="s">
        <v>97</v>
      </c>
      <c r="G68" s="25" t="s">
        <v>98</v>
      </c>
      <c r="H68" s="24"/>
    </row>
    <row r="69" spans="1:8" x14ac:dyDescent="0.3">
      <c r="A69" s="10" t="s">
        <v>294</v>
      </c>
      <c r="B69" s="10" t="s">
        <v>77</v>
      </c>
      <c r="C69" s="10" t="s">
        <v>273</v>
      </c>
      <c r="D69" s="10" t="s">
        <v>295</v>
      </c>
      <c r="E69" s="10" t="s">
        <v>296</v>
      </c>
      <c r="F69" s="24" t="s">
        <v>97</v>
      </c>
      <c r="G69" s="25" t="s">
        <v>98</v>
      </c>
      <c r="H69" s="24"/>
    </row>
    <row r="70" spans="1:8" x14ac:dyDescent="0.3">
      <c r="A70" s="10" t="s">
        <v>297</v>
      </c>
      <c r="B70" s="10" t="s">
        <v>77</v>
      </c>
      <c r="C70" s="10" t="s">
        <v>273</v>
      </c>
      <c r="D70" s="10" t="s">
        <v>298</v>
      </c>
      <c r="E70" s="10" t="s">
        <v>299</v>
      </c>
      <c r="F70" s="24" t="s">
        <v>97</v>
      </c>
      <c r="G70" s="25" t="s">
        <v>98</v>
      </c>
      <c r="H70" s="24"/>
    </row>
    <row r="71" spans="1:8" x14ac:dyDescent="0.3">
      <c r="A71" s="10" t="s">
        <v>300</v>
      </c>
      <c r="B71" s="10" t="s">
        <v>77</v>
      </c>
      <c r="C71" s="10" t="s">
        <v>273</v>
      </c>
      <c r="D71" s="10" t="s">
        <v>301</v>
      </c>
      <c r="E71" s="10" t="s">
        <v>302</v>
      </c>
      <c r="F71" s="24" t="s">
        <v>97</v>
      </c>
      <c r="G71" s="25" t="s">
        <v>98</v>
      </c>
      <c r="H71" s="24"/>
    </row>
    <row r="72" spans="1:8" x14ac:dyDescent="0.3">
      <c r="A72" s="10" t="s">
        <v>303</v>
      </c>
      <c r="B72" s="10" t="s">
        <v>77</v>
      </c>
      <c r="C72" s="10" t="s">
        <v>273</v>
      </c>
      <c r="D72" s="10" t="s">
        <v>304</v>
      </c>
      <c r="E72" s="10" t="s">
        <v>305</v>
      </c>
      <c r="F72" s="24" t="s">
        <v>97</v>
      </c>
      <c r="G72" s="25" t="s">
        <v>98</v>
      </c>
      <c r="H72" s="24"/>
    </row>
    <row r="73" spans="1:8" x14ac:dyDescent="0.3">
      <c r="A73" s="10" t="s">
        <v>306</v>
      </c>
      <c r="B73" s="10" t="s">
        <v>77</v>
      </c>
      <c r="C73" s="10" t="s">
        <v>273</v>
      </c>
      <c r="D73" s="10" t="s">
        <v>307</v>
      </c>
      <c r="E73" s="10" t="s">
        <v>308</v>
      </c>
      <c r="F73" s="24" t="s">
        <v>97</v>
      </c>
      <c r="G73" s="25" t="s">
        <v>98</v>
      </c>
      <c r="H73" s="24"/>
    </row>
    <row r="74" spans="1:8" x14ac:dyDescent="0.3">
      <c r="A74" s="10" t="s">
        <v>309</v>
      </c>
      <c r="B74" s="10" t="s">
        <v>77</v>
      </c>
      <c r="C74" s="10" t="s">
        <v>273</v>
      </c>
      <c r="D74" s="10" t="s">
        <v>310</v>
      </c>
      <c r="E74" s="10" t="s">
        <v>311</v>
      </c>
      <c r="F74" s="24" t="s">
        <v>97</v>
      </c>
      <c r="G74" s="25" t="s">
        <v>98</v>
      </c>
      <c r="H74" s="24"/>
    </row>
    <row r="75" spans="1:8" x14ac:dyDescent="0.3">
      <c r="A75" s="10" t="s">
        <v>312</v>
      </c>
      <c r="B75" s="10" t="s">
        <v>77</v>
      </c>
      <c r="C75" s="10" t="s">
        <v>273</v>
      </c>
      <c r="D75" s="10" t="s">
        <v>313</v>
      </c>
      <c r="E75" s="10" t="s">
        <v>314</v>
      </c>
      <c r="F75" s="24" t="s">
        <v>97</v>
      </c>
      <c r="G75" s="25" t="s">
        <v>98</v>
      </c>
      <c r="H75" s="24"/>
    </row>
    <row r="76" spans="1:8" x14ac:dyDescent="0.3">
      <c r="A76" s="10" t="s">
        <v>315</v>
      </c>
      <c r="B76" s="10" t="s">
        <v>77</v>
      </c>
      <c r="C76" s="10" t="s">
        <v>273</v>
      </c>
      <c r="D76" s="10" t="s">
        <v>316</v>
      </c>
      <c r="E76" s="10" t="s">
        <v>317</v>
      </c>
      <c r="F76" s="24" t="s">
        <v>318</v>
      </c>
      <c r="G76" s="25" t="s">
        <v>223</v>
      </c>
      <c r="H76" s="24" t="s">
        <v>319</v>
      </c>
    </row>
    <row r="77" spans="1:8" x14ac:dyDescent="0.3">
      <c r="A77" s="10" t="s">
        <v>320</v>
      </c>
      <c r="B77" s="10" t="s">
        <v>77</v>
      </c>
      <c r="C77" s="10" t="s">
        <v>273</v>
      </c>
      <c r="D77" s="10" t="s">
        <v>321</v>
      </c>
      <c r="E77" s="10" t="s">
        <v>322</v>
      </c>
      <c r="F77" s="24" t="s">
        <v>97</v>
      </c>
      <c r="G77" s="25" t="s">
        <v>98</v>
      </c>
      <c r="H77" s="24"/>
    </row>
    <row r="78" spans="1:8" x14ac:dyDescent="0.3">
      <c r="A78" s="10" t="s">
        <v>323</v>
      </c>
      <c r="B78" s="10" t="s">
        <v>77</v>
      </c>
      <c r="C78" s="10" t="s">
        <v>273</v>
      </c>
      <c r="D78" s="10" t="s">
        <v>324</v>
      </c>
      <c r="E78" s="10" t="s">
        <v>325</v>
      </c>
      <c r="F78" s="24" t="s">
        <v>97</v>
      </c>
      <c r="G78" s="25" t="s">
        <v>98</v>
      </c>
      <c r="H78" s="24"/>
    </row>
    <row r="79" spans="1:8" x14ac:dyDescent="0.3">
      <c r="A79" s="10" t="s">
        <v>326</v>
      </c>
      <c r="B79" s="10" t="s">
        <v>77</v>
      </c>
      <c r="C79" s="10" t="s">
        <v>273</v>
      </c>
      <c r="D79" s="10" t="s">
        <v>327</v>
      </c>
      <c r="E79" s="10" t="s">
        <v>328</v>
      </c>
      <c r="F79" s="24" t="s">
        <v>97</v>
      </c>
      <c r="G79" s="25" t="s">
        <v>98</v>
      </c>
      <c r="H79" s="24"/>
    </row>
    <row r="80" spans="1:8" x14ac:dyDescent="0.3">
      <c r="A80" s="10" t="s">
        <v>329</v>
      </c>
      <c r="B80" s="10" t="s">
        <v>77</v>
      </c>
      <c r="C80" s="10" t="s">
        <v>273</v>
      </c>
      <c r="D80" s="10" t="s">
        <v>330</v>
      </c>
      <c r="E80" s="10" t="s">
        <v>125</v>
      </c>
      <c r="F80" s="24" t="s">
        <v>97</v>
      </c>
      <c r="G80" s="25" t="s">
        <v>98</v>
      </c>
      <c r="H80" s="24"/>
    </row>
    <row r="81" spans="1:8" x14ac:dyDescent="0.3">
      <c r="A81" s="10" t="s">
        <v>331</v>
      </c>
      <c r="B81" s="10" t="s">
        <v>77</v>
      </c>
      <c r="C81" s="10" t="s">
        <v>273</v>
      </c>
      <c r="D81" s="10" t="s">
        <v>332</v>
      </c>
      <c r="E81" s="10" t="s">
        <v>125</v>
      </c>
      <c r="F81" s="24" t="s">
        <v>97</v>
      </c>
      <c r="G81" s="25" t="s">
        <v>98</v>
      </c>
      <c r="H81" s="24"/>
    </row>
    <row r="82" spans="1:8" x14ac:dyDescent="0.3">
      <c r="A82" s="10" t="s">
        <v>333</v>
      </c>
      <c r="B82" s="10" t="s">
        <v>78</v>
      </c>
      <c r="C82" s="10" t="s">
        <v>334</v>
      </c>
      <c r="D82" s="10" t="s">
        <v>335</v>
      </c>
      <c r="E82" s="10" t="s">
        <v>336</v>
      </c>
      <c r="F82" s="24" t="s">
        <v>97</v>
      </c>
      <c r="G82" s="25" t="s">
        <v>98</v>
      </c>
      <c r="H82" s="24"/>
    </row>
    <row r="83" spans="1:8" x14ac:dyDescent="0.3">
      <c r="A83" s="10" t="s">
        <v>337</v>
      </c>
      <c r="B83" s="10" t="s">
        <v>78</v>
      </c>
      <c r="C83" s="10" t="s">
        <v>334</v>
      </c>
      <c r="D83" s="10" t="s">
        <v>338</v>
      </c>
      <c r="E83" s="10" t="s">
        <v>336</v>
      </c>
      <c r="F83" s="24" t="s">
        <v>97</v>
      </c>
      <c r="G83" s="25" t="s">
        <v>98</v>
      </c>
      <c r="H83" s="24"/>
    </row>
    <row r="84" spans="1:8" x14ac:dyDescent="0.3">
      <c r="A84" s="10" t="s">
        <v>339</v>
      </c>
      <c r="B84" s="10" t="s">
        <v>78</v>
      </c>
      <c r="C84" s="10" t="s">
        <v>334</v>
      </c>
      <c r="D84" s="10" t="s">
        <v>340</v>
      </c>
      <c r="E84" s="10" t="s">
        <v>341</v>
      </c>
      <c r="F84" s="24" t="s">
        <v>97</v>
      </c>
      <c r="G84" s="25" t="s">
        <v>98</v>
      </c>
      <c r="H84" s="24"/>
    </row>
    <row r="85" spans="1:8" x14ac:dyDescent="0.3">
      <c r="A85" s="10" t="s">
        <v>342</v>
      </c>
      <c r="B85" s="10" t="s">
        <v>78</v>
      </c>
      <c r="C85" s="10" t="s">
        <v>334</v>
      </c>
      <c r="D85" s="10" t="s">
        <v>343</v>
      </c>
      <c r="E85" s="10" t="s">
        <v>341</v>
      </c>
      <c r="F85" s="24" t="s">
        <v>97</v>
      </c>
      <c r="G85" s="25" t="s">
        <v>98</v>
      </c>
      <c r="H85" s="24"/>
    </row>
    <row r="86" spans="1:8" x14ac:dyDescent="0.3">
      <c r="A86" s="10" t="s">
        <v>344</v>
      </c>
      <c r="B86" s="10" t="s">
        <v>78</v>
      </c>
      <c r="C86" s="10" t="s">
        <v>334</v>
      </c>
      <c r="D86" s="10" t="s">
        <v>345</v>
      </c>
      <c r="E86" s="10" t="s">
        <v>346</v>
      </c>
      <c r="F86" s="24" t="s">
        <v>97</v>
      </c>
      <c r="G86" s="25" t="s">
        <v>98</v>
      </c>
      <c r="H86" s="24"/>
    </row>
    <row r="87" spans="1:8" x14ac:dyDescent="0.3">
      <c r="A87" s="10" t="s">
        <v>347</v>
      </c>
      <c r="B87" s="10" t="s">
        <v>78</v>
      </c>
      <c r="C87" s="10" t="s">
        <v>334</v>
      </c>
      <c r="D87" s="10" t="s">
        <v>348</v>
      </c>
      <c r="E87" s="10" t="s">
        <v>349</v>
      </c>
      <c r="F87" s="24" t="s">
        <v>97</v>
      </c>
      <c r="G87" s="25" t="s">
        <v>98</v>
      </c>
      <c r="H87" s="24"/>
    </row>
    <row r="88" spans="1:8" x14ac:dyDescent="0.3">
      <c r="A88" s="10" t="s">
        <v>350</v>
      </c>
      <c r="B88" s="10" t="s">
        <v>78</v>
      </c>
      <c r="C88" s="10" t="s">
        <v>334</v>
      </c>
      <c r="D88" s="10" t="s">
        <v>351</v>
      </c>
      <c r="E88" s="10" t="s">
        <v>352</v>
      </c>
      <c r="F88" s="24" t="s">
        <v>97</v>
      </c>
      <c r="G88" s="25" t="s">
        <v>98</v>
      </c>
      <c r="H88" s="24"/>
    </row>
    <row r="89" spans="1:8" x14ac:dyDescent="0.3">
      <c r="A89" s="10" t="s">
        <v>353</v>
      </c>
      <c r="B89" s="10" t="s">
        <v>78</v>
      </c>
      <c r="C89" s="10" t="s">
        <v>334</v>
      </c>
      <c r="D89" s="10" t="s">
        <v>354</v>
      </c>
      <c r="E89" s="10" t="s">
        <v>355</v>
      </c>
      <c r="F89" s="24" t="s">
        <v>97</v>
      </c>
      <c r="G89" s="25" t="s">
        <v>98</v>
      </c>
      <c r="H89" s="24"/>
    </row>
    <row r="90" spans="1:8" x14ac:dyDescent="0.3">
      <c r="A90" s="10" t="s">
        <v>356</v>
      </c>
      <c r="B90" s="10" t="s">
        <v>78</v>
      </c>
      <c r="C90" s="10" t="s">
        <v>357</v>
      </c>
      <c r="D90" s="10" t="s">
        <v>358</v>
      </c>
      <c r="E90" s="10" t="s">
        <v>359</v>
      </c>
      <c r="F90" s="24" t="s">
        <v>97</v>
      </c>
      <c r="G90" s="25" t="s">
        <v>98</v>
      </c>
      <c r="H90" s="24"/>
    </row>
    <row r="91" spans="1:8" x14ac:dyDescent="0.3">
      <c r="A91" s="10" t="s">
        <v>360</v>
      </c>
      <c r="B91" s="10" t="s">
        <v>78</v>
      </c>
      <c r="C91" s="10" t="s">
        <v>357</v>
      </c>
      <c r="D91" s="10" t="s">
        <v>361</v>
      </c>
      <c r="E91" s="10" t="s">
        <v>362</v>
      </c>
      <c r="F91" s="24" t="s">
        <v>97</v>
      </c>
      <c r="G91" s="25" t="s">
        <v>98</v>
      </c>
      <c r="H91" s="24"/>
    </row>
    <row r="92" spans="1:8" x14ac:dyDescent="0.3">
      <c r="A92" s="10" t="s">
        <v>363</v>
      </c>
      <c r="B92" s="10" t="s">
        <v>78</v>
      </c>
      <c r="C92" s="10" t="s">
        <v>357</v>
      </c>
      <c r="D92" s="10" t="s">
        <v>364</v>
      </c>
      <c r="E92" s="10" t="s">
        <v>365</v>
      </c>
      <c r="F92" s="24" t="s">
        <v>97</v>
      </c>
      <c r="G92" s="25" t="s">
        <v>98</v>
      </c>
      <c r="H92" s="24"/>
    </row>
    <row r="93" spans="1:8" x14ac:dyDescent="0.3">
      <c r="A93" s="10" t="s">
        <v>366</v>
      </c>
      <c r="B93" s="10" t="s">
        <v>78</v>
      </c>
      <c r="C93" s="10" t="s">
        <v>357</v>
      </c>
      <c r="D93" s="10" t="s">
        <v>367</v>
      </c>
      <c r="E93" s="10" t="s">
        <v>368</v>
      </c>
      <c r="F93" s="24" t="s">
        <v>97</v>
      </c>
      <c r="G93" s="25" t="s">
        <v>98</v>
      </c>
      <c r="H93" s="24"/>
    </row>
    <row r="94" spans="1:8" x14ac:dyDescent="0.3">
      <c r="A94" s="10" t="s">
        <v>369</v>
      </c>
      <c r="B94" s="10" t="s">
        <v>78</v>
      </c>
      <c r="C94" s="10" t="s">
        <v>357</v>
      </c>
      <c r="D94" s="10" t="s">
        <v>370</v>
      </c>
      <c r="E94" s="10" t="s">
        <v>231</v>
      </c>
      <c r="F94" s="24" t="s">
        <v>97</v>
      </c>
      <c r="G94" s="25" t="s">
        <v>98</v>
      </c>
      <c r="H94" s="24"/>
    </row>
    <row r="95" spans="1:8" x14ac:dyDescent="0.3">
      <c r="A95" s="10" t="s">
        <v>371</v>
      </c>
      <c r="B95" s="10" t="s">
        <v>78</v>
      </c>
      <c r="C95" s="10" t="s">
        <v>357</v>
      </c>
      <c r="D95" s="10" t="s">
        <v>372</v>
      </c>
      <c r="E95" s="10" t="s">
        <v>101</v>
      </c>
      <c r="F95" s="24" t="s">
        <v>373</v>
      </c>
      <c r="G95" s="25" t="s">
        <v>223</v>
      </c>
      <c r="H95" s="24" t="s">
        <v>374</v>
      </c>
    </row>
    <row r="96" spans="1:8" x14ac:dyDescent="0.3">
      <c r="A96" s="10" t="s">
        <v>375</v>
      </c>
      <c r="B96" s="10" t="s">
        <v>78</v>
      </c>
      <c r="C96" s="10" t="s">
        <v>357</v>
      </c>
      <c r="D96" s="10" t="s">
        <v>376</v>
      </c>
      <c r="E96" s="10" t="s">
        <v>377</v>
      </c>
      <c r="F96" s="24" t="s">
        <v>97</v>
      </c>
      <c r="G96" s="25" t="s">
        <v>98</v>
      </c>
      <c r="H96" s="24"/>
    </row>
    <row r="97" spans="1:8" x14ac:dyDescent="0.3">
      <c r="A97" s="10" t="s">
        <v>378</v>
      </c>
      <c r="B97" s="10" t="s">
        <v>79</v>
      </c>
      <c r="C97" s="10" t="s">
        <v>379</v>
      </c>
      <c r="D97" s="10" t="s">
        <v>380</v>
      </c>
      <c r="E97" s="10" t="s">
        <v>314</v>
      </c>
      <c r="F97" s="24" t="s">
        <v>97</v>
      </c>
      <c r="G97" s="25" t="s">
        <v>98</v>
      </c>
      <c r="H97" s="24"/>
    </row>
    <row r="98" spans="1:8" x14ac:dyDescent="0.3">
      <c r="A98" s="10" t="s">
        <v>381</v>
      </c>
      <c r="B98" s="10" t="s">
        <v>79</v>
      </c>
      <c r="C98" s="10" t="s">
        <v>379</v>
      </c>
      <c r="D98" s="10" t="s">
        <v>382</v>
      </c>
      <c r="E98" s="10" t="s">
        <v>383</v>
      </c>
      <c r="F98" s="24" t="s">
        <v>97</v>
      </c>
      <c r="G98" s="25" t="s">
        <v>98</v>
      </c>
      <c r="H98" s="24"/>
    </row>
    <row r="99" spans="1:8" x14ac:dyDescent="0.3">
      <c r="A99" s="10" t="s">
        <v>384</v>
      </c>
      <c r="B99" s="10" t="s">
        <v>79</v>
      </c>
      <c r="C99" s="10" t="s">
        <v>379</v>
      </c>
      <c r="D99" s="10" t="s">
        <v>385</v>
      </c>
      <c r="E99" s="10" t="s">
        <v>386</v>
      </c>
      <c r="F99" s="24" t="s">
        <v>97</v>
      </c>
      <c r="G99" s="25" t="s">
        <v>98</v>
      </c>
      <c r="H99" s="24"/>
    </row>
    <row r="100" spans="1:8" x14ac:dyDescent="0.3">
      <c r="A100" s="10" t="s">
        <v>387</v>
      </c>
      <c r="B100" s="10" t="s">
        <v>79</v>
      </c>
      <c r="C100" s="10" t="s">
        <v>379</v>
      </c>
      <c r="D100" s="10" t="s">
        <v>388</v>
      </c>
      <c r="E100" s="10" t="s">
        <v>389</v>
      </c>
      <c r="F100" s="24" t="s">
        <v>97</v>
      </c>
      <c r="G100" s="25" t="s">
        <v>98</v>
      </c>
      <c r="H100" s="24"/>
    </row>
    <row r="101" spans="1:8" x14ac:dyDescent="0.3">
      <c r="A101" s="10" t="s">
        <v>390</v>
      </c>
      <c r="B101" s="10" t="s">
        <v>79</v>
      </c>
      <c r="C101" s="10" t="s">
        <v>379</v>
      </c>
      <c r="D101" s="10" t="s">
        <v>391</v>
      </c>
      <c r="E101" s="10" t="s">
        <v>392</v>
      </c>
      <c r="F101" s="24" t="s">
        <v>97</v>
      </c>
      <c r="G101" s="25" t="s">
        <v>98</v>
      </c>
      <c r="H101" s="24"/>
    </row>
    <row r="102" spans="1:8" x14ac:dyDescent="0.3">
      <c r="A102" s="10" t="s">
        <v>393</v>
      </c>
      <c r="B102" s="10" t="s">
        <v>79</v>
      </c>
      <c r="C102" s="10" t="s">
        <v>379</v>
      </c>
      <c r="D102" s="10" t="s">
        <v>321</v>
      </c>
      <c r="E102" s="10" t="s">
        <v>322</v>
      </c>
      <c r="F102" s="24" t="s">
        <v>97</v>
      </c>
      <c r="G102" s="25" t="s">
        <v>98</v>
      </c>
      <c r="H102" s="24"/>
    </row>
    <row r="103" spans="1:8" x14ac:dyDescent="0.3">
      <c r="A103" s="10" t="s">
        <v>394</v>
      </c>
      <c r="B103" s="10" t="s">
        <v>79</v>
      </c>
      <c r="C103" s="10" t="s">
        <v>379</v>
      </c>
      <c r="D103" s="10" t="s">
        <v>324</v>
      </c>
      <c r="E103" s="10" t="s">
        <v>325</v>
      </c>
      <c r="F103" s="24" t="s">
        <v>97</v>
      </c>
      <c r="G103" s="25" t="s">
        <v>98</v>
      </c>
      <c r="H103" s="24"/>
    </row>
    <row r="104" spans="1:8" x14ac:dyDescent="0.3">
      <c r="A104" s="10" t="s">
        <v>395</v>
      </c>
      <c r="B104" s="10" t="s">
        <v>79</v>
      </c>
      <c r="C104" s="10" t="s">
        <v>379</v>
      </c>
      <c r="D104" s="10" t="s">
        <v>396</v>
      </c>
      <c r="E104" s="10" t="s">
        <v>397</v>
      </c>
      <c r="F104" s="24" t="s">
        <v>97</v>
      </c>
      <c r="G104" s="25" t="s">
        <v>98</v>
      </c>
      <c r="H104" s="24"/>
    </row>
    <row r="105" spans="1:8" x14ac:dyDescent="0.3">
      <c r="A105" s="10" t="s">
        <v>398</v>
      </c>
      <c r="B105" s="10" t="s">
        <v>79</v>
      </c>
      <c r="C105" s="10" t="s">
        <v>379</v>
      </c>
      <c r="D105" s="10" t="s">
        <v>399</v>
      </c>
      <c r="E105" s="10" t="s">
        <v>290</v>
      </c>
      <c r="F105" s="24" t="s">
        <v>97</v>
      </c>
      <c r="G105" s="25" t="s">
        <v>98</v>
      </c>
      <c r="H105" s="24"/>
    </row>
    <row r="106" spans="1:8" x14ac:dyDescent="0.3">
      <c r="A106" s="10" t="s">
        <v>400</v>
      </c>
      <c r="B106" s="10" t="s">
        <v>79</v>
      </c>
      <c r="C106" s="10" t="s">
        <v>379</v>
      </c>
      <c r="D106" s="10" t="s">
        <v>401</v>
      </c>
      <c r="E106" s="10" t="s">
        <v>402</v>
      </c>
      <c r="F106" s="24" t="s">
        <v>97</v>
      </c>
      <c r="G106" s="25" t="s">
        <v>98</v>
      </c>
      <c r="H106" s="24"/>
    </row>
    <row r="107" spans="1:8" x14ac:dyDescent="0.3">
      <c r="A107" s="10" t="s">
        <v>403</v>
      </c>
      <c r="B107" s="10" t="s">
        <v>79</v>
      </c>
      <c r="C107" s="10" t="s">
        <v>379</v>
      </c>
      <c r="D107" s="10" t="s">
        <v>404</v>
      </c>
      <c r="E107" s="10" t="s">
        <v>405</v>
      </c>
      <c r="F107" s="24" t="s">
        <v>97</v>
      </c>
      <c r="G107" s="25" t="s">
        <v>98</v>
      </c>
      <c r="H107" s="24"/>
    </row>
    <row r="108" spans="1:8" x14ac:dyDescent="0.3">
      <c r="A108" s="10" t="s">
        <v>406</v>
      </c>
      <c r="B108" s="10" t="s">
        <v>79</v>
      </c>
      <c r="C108" s="10" t="s">
        <v>379</v>
      </c>
      <c r="D108" s="10" t="s">
        <v>407</v>
      </c>
      <c r="E108" s="10" t="s">
        <v>408</v>
      </c>
      <c r="F108" s="24" t="s">
        <v>97</v>
      </c>
      <c r="G108" s="25" t="s">
        <v>98</v>
      </c>
      <c r="H108" s="24"/>
    </row>
    <row r="109" spans="1:8" x14ac:dyDescent="0.3">
      <c r="A109" s="10" t="s">
        <v>409</v>
      </c>
      <c r="B109" s="10" t="s">
        <v>79</v>
      </c>
      <c r="C109" s="10" t="s">
        <v>379</v>
      </c>
      <c r="D109" s="10" t="s">
        <v>410</v>
      </c>
      <c r="E109" s="10" t="s">
        <v>119</v>
      </c>
      <c r="F109" s="24" t="s">
        <v>411</v>
      </c>
      <c r="G109" s="25" t="s">
        <v>223</v>
      </c>
      <c r="H109" s="24" t="s">
        <v>412</v>
      </c>
    </row>
    <row r="110" spans="1:8" x14ac:dyDescent="0.3">
      <c r="A110" s="10" t="s">
        <v>413</v>
      </c>
      <c r="B110" s="10" t="s">
        <v>79</v>
      </c>
      <c r="C110" s="10" t="s">
        <v>379</v>
      </c>
      <c r="D110" s="10" t="s">
        <v>414</v>
      </c>
      <c r="E110" s="10" t="s">
        <v>415</v>
      </c>
      <c r="F110" s="24" t="s">
        <v>97</v>
      </c>
      <c r="G110" s="25" t="s">
        <v>98</v>
      </c>
      <c r="H110" s="24"/>
    </row>
    <row r="111" spans="1:8" x14ac:dyDescent="0.3">
      <c r="A111" s="10" t="s">
        <v>416</v>
      </c>
      <c r="B111" s="10" t="s">
        <v>79</v>
      </c>
      <c r="C111" s="10" t="s">
        <v>379</v>
      </c>
      <c r="D111" s="10" t="s">
        <v>316</v>
      </c>
      <c r="E111" s="10" t="s">
        <v>417</v>
      </c>
      <c r="F111" s="24" t="s">
        <v>418</v>
      </c>
      <c r="G111" s="25" t="s">
        <v>223</v>
      </c>
      <c r="H111" s="24" t="s">
        <v>319</v>
      </c>
    </row>
    <row r="112" spans="1:8" x14ac:dyDescent="0.3">
      <c r="A112" s="10" t="s">
        <v>419</v>
      </c>
      <c r="B112" s="10" t="s">
        <v>79</v>
      </c>
      <c r="C112" s="10" t="s">
        <v>379</v>
      </c>
      <c r="D112" s="10" t="s">
        <v>420</v>
      </c>
      <c r="E112" s="10" t="s">
        <v>421</v>
      </c>
      <c r="F112" s="24" t="s">
        <v>97</v>
      </c>
      <c r="G112" s="25" t="s">
        <v>98</v>
      </c>
      <c r="H112" s="24"/>
    </row>
    <row r="113" spans="1:8" x14ac:dyDescent="0.3">
      <c r="A113" s="10" t="s">
        <v>422</v>
      </c>
      <c r="B113" s="10" t="s">
        <v>79</v>
      </c>
      <c r="C113" s="10" t="s">
        <v>379</v>
      </c>
      <c r="D113" s="10" t="s">
        <v>423</v>
      </c>
      <c r="E113" s="10" t="s">
        <v>424</v>
      </c>
      <c r="F113" s="24" t="s">
        <v>97</v>
      </c>
      <c r="G113" s="25" t="s">
        <v>98</v>
      </c>
      <c r="H113" s="24"/>
    </row>
    <row r="114" spans="1:8" x14ac:dyDescent="0.3">
      <c r="A114" s="10" t="s">
        <v>425</v>
      </c>
      <c r="B114" s="10" t="s">
        <v>79</v>
      </c>
      <c r="C114" s="10" t="s">
        <v>379</v>
      </c>
      <c r="D114" s="10" t="s">
        <v>426</v>
      </c>
      <c r="E114" s="10" t="s">
        <v>427</v>
      </c>
      <c r="F114" s="24" t="s">
        <v>97</v>
      </c>
      <c r="G114" s="25" t="s">
        <v>98</v>
      </c>
      <c r="H114" s="24"/>
    </row>
    <row r="115" spans="1:8" x14ac:dyDescent="0.3">
      <c r="A115" s="10" t="s">
        <v>428</v>
      </c>
      <c r="B115" s="10" t="s">
        <v>79</v>
      </c>
      <c r="C115" s="10" t="s">
        <v>379</v>
      </c>
      <c r="D115" s="10" t="s">
        <v>429</v>
      </c>
      <c r="E115" s="10" t="s">
        <v>430</v>
      </c>
      <c r="F115" s="24" t="s">
        <v>97</v>
      </c>
      <c r="G115" s="25" t="s">
        <v>98</v>
      </c>
      <c r="H115" s="24"/>
    </row>
    <row r="116" spans="1:8" x14ac:dyDescent="0.3">
      <c r="A116" s="10" t="s">
        <v>431</v>
      </c>
      <c r="B116" s="10" t="s">
        <v>79</v>
      </c>
      <c r="C116" s="10" t="s">
        <v>379</v>
      </c>
      <c r="D116" s="10" t="s">
        <v>432</v>
      </c>
      <c r="E116" s="10" t="s">
        <v>433</v>
      </c>
      <c r="F116" s="24" t="s">
        <v>97</v>
      </c>
      <c r="G116" s="25" t="s">
        <v>98</v>
      </c>
      <c r="H116" s="24"/>
    </row>
    <row r="117" spans="1:8" x14ac:dyDescent="0.3">
      <c r="A117" s="10" t="s">
        <v>434</v>
      </c>
      <c r="B117" s="10" t="s">
        <v>80</v>
      </c>
      <c r="C117" s="10" t="s">
        <v>435</v>
      </c>
      <c r="D117" s="10" t="s">
        <v>436</v>
      </c>
      <c r="E117" s="10" t="s">
        <v>314</v>
      </c>
      <c r="F117" s="24" t="s">
        <v>97</v>
      </c>
      <c r="G117" s="25" t="s">
        <v>98</v>
      </c>
      <c r="H117" s="24"/>
    </row>
    <row r="118" spans="1:8" x14ac:dyDescent="0.3">
      <c r="A118" s="10" t="s">
        <v>437</v>
      </c>
      <c r="B118" s="10" t="s">
        <v>80</v>
      </c>
      <c r="C118" s="10" t="s">
        <v>435</v>
      </c>
      <c r="D118" s="10" t="s">
        <v>391</v>
      </c>
      <c r="E118" s="10" t="s">
        <v>392</v>
      </c>
      <c r="F118" s="24" t="s">
        <v>97</v>
      </c>
      <c r="G118" s="25" t="s">
        <v>98</v>
      </c>
      <c r="H118" s="24"/>
    </row>
    <row r="119" spans="1:8" x14ac:dyDescent="0.3">
      <c r="A119" s="10" t="s">
        <v>438</v>
      </c>
      <c r="B119" s="10" t="s">
        <v>80</v>
      </c>
      <c r="C119" s="10" t="s">
        <v>435</v>
      </c>
      <c r="D119" s="10" t="s">
        <v>385</v>
      </c>
      <c r="E119" s="10" t="s">
        <v>439</v>
      </c>
      <c r="F119" s="24" t="s">
        <v>97</v>
      </c>
      <c r="G119" s="25" t="s">
        <v>98</v>
      </c>
      <c r="H119" s="24"/>
    </row>
    <row r="120" spans="1:8" x14ac:dyDescent="0.3">
      <c r="A120" s="10" t="s">
        <v>440</v>
      </c>
      <c r="B120" s="10" t="s">
        <v>80</v>
      </c>
      <c r="C120" s="10" t="s">
        <v>435</v>
      </c>
      <c r="D120" s="10" t="s">
        <v>441</v>
      </c>
      <c r="E120" s="10" t="s">
        <v>442</v>
      </c>
      <c r="F120" s="24" t="s">
        <v>97</v>
      </c>
      <c r="G120" s="25" t="s">
        <v>98</v>
      </c>
      <c r="H120" s="24"/>
    </row>
    <row r="121" spans="1:8" x14ac:dyDescent="0.3">
      <c r="A121" s="10" t="s">
        <v>443</v>
      </c>
      <c r="B121" s="10" t="s">
        <v>80</v>
      </c>
      <c r="C121" s="10" t="s">
        <v>435</v>
      </c>
      <c r="D121" s="10" t="s">
        <v>444</v>
      </c>
      <c r="E121" s="10" t="s">
        <v>445</v>
      </c>
      <c r="F121" s="24" t="s">
        <v>97</v>
      </c>
      <c r="G121" s="25" t="s">
        <v>98</v>
      </c>
      <c r="H121" s="24"/>
    </row>
    <row r="122" spans="1:8" x14ac:dyDescent="0.3">
      <c r="A122" s="10" t="s">
        <v>446</v>
      </c>
      <c r="B122" s="10" t="s">
        <v>80</v>
      </c>
      <c r="C122" s="10" t="s">
        <v>435</v>
      </c>
      <c r="D122" s="10" t="s">
        <v>447</v>
      </c>
      <c r="E122" s="10" t="s">
        <v>448</v>
      </c>
      <c r="F122" s="24" t="s">
        <v>97</v>
      </c>
      <c r="G122" s="25" t="s">
        <v>98</v>
      </c>
      <c r="H122" s="24"/>
    </row>
    <row r="123" spans="1:8" x14ac:dyDescent="0.3">
      <c r="A123" s="10" t="s">
        <v>449</v>
      </c>
      <c r="B123" s="10" t="s">
        <v>80</v>
      </c>
      <c r="C123" s="10" t="s">
        <v>435</v>
      </c>
      <c r="D123" s="10" t="s">
        <v>450</v>
      </c>
      <c r="E123" s="10" t="s">
        <v>451</v>
      </c>
      <c r="F123" s="24" t="s">
        <v>97</v>
      </c>
      <c r="G123" s="25" t="s">
        <v>98</v>
      </c>
      <c r="H123" s="24"/>
    </row>
    <row r="124" spans="1:8" x14ac:dyDescent="0.3">
      <c r="A124" s="10" t="s">
        <v>452</v>
      </c>
      <c r="B124" s="10" t="s">
        <v>80</v>
      </c>
      <c r="C124" s="10" t="s">
        <v>435</v>
      </c>
      <c r="D124" s="10" t="s">
        <v>453</v>
      </c>
      <c r="E124" s="10" t="s">
        <v>454</v>
      </c>
      <c r="F124" s="24" t="s">
        <v>97</v>
      </c>
      <c r="G124" s="25" t="s">
        <v>98</v>
      </c>
      <c r="H124" s="24"/>
    </row>
    <row r="125" spans="1:8" x14ac:dyDescent="0.3">
      <c r="A125" s="10" t="s">
        <v>455</v>
      </c>
      <c r="B125" s="10" t="s">
        <v>81</v>
      </c>
      <c r="C125" s="10" t="s">
        <v>456</v>
      </c>
      <c r="D125" s="10" t="s">
        <v>457</v>
      </c>
      <c r="E125" s="10" t="s">
        <v>458</v>
      </c>
      <c r="F125" s="24" t="s">
        <v>97</v>
      </c>
      <c r="G125" s="25" t="s">
        <v>98</v>
      </c>
      <c r="H125" s="24"/>
    </row>
    <row r="126" spans="1:8" x14ac:dyDescent="0.3">
      <c r="A126" s="10" t="s">
        <v>459</v>
      </c>
      <c r="B126" s="10" t="s">
        <v>81</v>
      </c>
      <c r="C126" s="10" t="s">
        <v>456</v>
      </c>
      <c r="D126" s="10" t="s">
        <v>460</v>
      </c>
      <c r="E126" s="10" t="s">
        <v>461</v>
      </c>
      <c r="F126" s="24" t="s">
        <v>97</v>
      </c>
      <c r="G126" s="25" t="s">
        <v>98</v>
      </c>
      <c r="H126" s="24"/>
    </row>
    <row r="127" spans="1:8" x14ac:dyDescent="0.3">
      <c r="A127" s="10" t="s">
        <v>462</v>
      </c>
      <c r="B127" s="10" t="s">
        <v>81</v>
      </c>
      <c r="C127" s="10" t="s">
        <v>456</v>
      </c>
      <c r="D127" s="10" t="s">
        <v>463</v>
      </c>
      <c r="E127" s="10" t="s">
        <v>101</v>
      </c>
      <c r="F127" s="24" t="s">
        <v>97</v>
      </c>
      <c r="G127" s="25" t="s">
        <v>98</v>
      </c>
      <c r="H127" s="24"/>
    </row>
    <row r="128" spans="1:8" x14ac:dyDescent="0.3">
      <c r="A128" s="10" t="s">
        <v>464</v>
      </c>
      <c r="B128" s="10" t="s">
        <v>81</v>
      </c>
      <c r="C128" s="10" t="s">
        <v>456</v>
      </c>
      <c r="D128" s="10" t="s">
        <v>465</v>
      </c>
      <c r="E128" s="10" t="s">
        <v>101</v>
      </c>
      <c r="F128" s="24" t="s">
        <v>97</v>
      </c>
      <c r="G128" s="25" t="s">
        <v>98</v>
      </c>
      <c r="H128" s="24"/>
    </row>
    <row r="129" spans="1:8" x14ac:dyDescent="0.3">
      <c r="A129" s="10" t="s">
        <v>466</v>
      </c>
      <c r="B129" s="10" t="s">
        <v>81</v>
      </c>
      <c r="C129" s="10" t="s">
        <v>456</v>
      </c>
      <c r="D129" s="10" t="s">
        <v>467</v>
      </c>
      <c r="E129" s="10" t="s">
        <v>101</v>
      </c>
      <c r="F129" s="24" t="s">
        <v>97</v>
      </c>
      <c r="G129" s="25" t="s">
        <v>98</v>
      </c>
      <c r="H129" s="24"/>
    </row>
    <row r="130" spans="1:8" x14ac:dyDescent="0.3">
      <c r="A130" s="10" t="s">
        <v>468</v>
      </c>
      <c r="B130" s="10" t="s">
        <v>81</v>
      </c>
      <c r="C130" s="10" t="s">
        <v>456</v>
      </c>
      <c r="D130" s="10" t="s">
        <v>469</v>
      </c>
      <c r="E130" s="10" t="s">
        <v>470</v>
      </c>
      <c r="F130" s="24" t="s">
        <v>97</v>
      </c>
      <c r="G130" s="25" t="s">
        <v>98</v>
      </c>
      <c r="H130" s="24"/>
    </row>
    <row r="131" spans="1:8" x14ac:dyDescent="0.3">
      <c r="A131" s="10" t="s">
        <v>471</v>
      </c>
      <c r="B131" s="10" t="s">
        <v>81</v>
      </c>
      <c r="C131" s="10" t="s">
        <v>456</v>
      </c>
      <c r="D131" s="10" t="s">
        <v>472</v>
      </c>
      <c r="E131" s="10" t="s">
        <v>473</v>
      </c>
      <c r="F131" s="24" t="s">
        <v>97</v>
      </c>
      <c r="G131" s="25" t="s">
        <v>98</v>
      </c>
      <c r="H131" s="24"/>
    </row>
    <row r="132" spans="1:8" x14ac:dyDescent="0.3">
      <c r="A132" s="10" t="s">
        <v>474</v>
      </c>
      <c r="B132" s="10" t="s">
        <v>81</v>
      </c>
      <c r="C132" s="10" t="s">
        <v>456</v>
      </c>
      <c r="D132" s="10" t="s">
        <v>475</v>
      </c>
      <c r="E132" s="10" t="s">
        <v>476</v>
      </c>
      <c r="F132" s="24" t="s">
        <v>97</v>
      </c>
      <c r="G132" s="25" t="s">
        <v>98</v>
      </c>
      <c r="H132" s="24"/>
    </row>
    <row r="133" spans="1:8" x14ac:dyDescent="0.3">
      <c r="A133" s="10" t="s">
        <v>477</v>
      </c>
      <c r="B133" s="10" t="s">
        <v>81</v>
      </c>
      <c r="C133" s="10" t="s">
        <v>456</v>
      </c>
      <c r="D133" s="10" t="s">
        <v>478</v>
      </c>
      <c r="E133" s="10" t="s">
        <v>479</v>
      </c>
      <c r="F133" s="24" t="s">
        <v>97</v>
      </c>
      <c r="G133" s="25" t="s">
        <v>98</v>
      </c>
      <c r="H133" s="24"/>
    </row>
    <row r="134" spans="1:8" x14ac:dyDescent="0.3">
      <c r="A134" s="10" t="s">
        <v>480</v>
      </c>
      <c r="B134" s="10" t="s">
        <v>81</v>
      </c>
      <c r="C134" s="10" t="s">
        <v>456</v>
      </c>
      <c r="D134" s="10" t="s">
        <v>481</v>
      </c>
      <c r="E134" s="10" t="s">
        <v>336</v>
      </c>
      <c r="F134" s="24" t="s">
        <v>97</v>
      </c>
      <c r="G134" s="25" t="s">
        <v>98</v>
      </c>
      <c r="H134" s="24"/>
    </row>
    <row r="135" spans="1:8" ht="25.75" x14ac:dyDescent="0.3">
      <c r="A135" s="10" t="s">
        <v>482</v>
      </c>
      <c r="B135" s="10" t="s">
        <v>81</v>
      </c>
      <c r="C135" s="10" t="s">
        <v>456</v>
      </c>
      <c r="D135" s="10" t="s">
        <v>483</v>
      </c>
      <c r="E135" s="10" t="s">
        <v>484</v>
      </c>
      <c r="F135" s="24" t="s">
        <v>485</v>
      </c>
      <c r="G135" s="25" t="s">
        <v>223</v>
      </c>
      <c r="H135" s="24" t="s">
        <v>486</v>
      </c>
    </row>
    <row r="136" spans="1:8" x14ac:dyDescent="0.3">
      <c r="A136" s="10" t="s">
        <v>487</v>
      </c>
      <c r="B136" s="10" t="s">
        <v>81</v>
      </c>
      <c r="C136" s="10" t="s">
        <v>456</v>
      </c>
      <c r="D136" s="10" t="s">
        <v>488</v>
      </c>
      <c r="E136" s="10" t="s">
        <v>489</v>
      </c>
      <c r="F136" s="24" t="s">
        <v>97</v>
      </c>
      <c r="G136" s="25" t="s">
        <v>98</v>
      </c>
      <c r="H136" s="24"/>
    </row>
    <row r="137" spans="1:8" x14ac:dyDescent="0.3">
      <c r="A137" s="10" t="s">
        <v>490</v>
      </c>
      <c r="B137" s="10" t="s">
        <v>81</v>
      </c>
      <c r="C137" s="10" t="s">
        <v>456</v>
      </c>
      <c r="D137" s="10" t="s">
        <v>491</v>
      </c>
      <c r="E137" s="10" t="s">
        <v>492</v>
      </c>
      <c r="F137" s="24" t="s">
        <v>97</v>
      </c>
      <c r="G137" s="25" t="s">
        <v>98</v>
      </c>
      <c r="H137" s="24"/>
    </row>
    <row r="138" spans="1:8" x14ac:dyDescent="0.3">
      <c r="A138" s="10" t="s">
        <v>493</v>
      </c>
      <c r="B138" s="10" t="s">
        <v>81</v>
      </c>
      <c r="C138" s="10" t="s">
        <v>456</v>
      </c>
      <c r="D138" s="10" t="s">
        <v>494</v>
      </c>
      <c r="E138" s="10" t="s">
        <v>495</v>
      </c>
      <c r="F138" s="24" t="s">
        <v>97</v>
      </c>
      <c r="G138" s="25" t="s">
        <v>98</v>
      </c>
      <c r="H138" s="24"/>
    </row>
    <row r="139" spans="1:8" x14ac:dyDescent="0.3">
      <c r="A139" s="10" t="s">
        <v>496</v>
      </c>
      <c r="B139" s="10" t="s">
        <v>81</v>
      </c>
      <c r="C139" s="10" t="s">
        <v>456</v>
      </c>
      <c r="D139" s="10" t="s">
        <v>497</v>
      </c>
      <c r="E139" s="10" t="s">
        <v>498</v>
      </c>
      <c r="F139" s="24" t="s">
        <v>97</v>
      </c>
      <c r="G139" s="25" t="s">
        <v>98</v>
      </c>
      <c r="H139" s="24"/>
    </row>
    <row r="140" spans="1:8" x14ac:dyDescent="0.3">
      <c r="A140" s="10" t="s">
        <v>499</v>
      </c>
      <c r="B140" s="10" t="s">
        <v>82</v>
      </c>
      <c r="C140" s="10" t="s">
        <v>500</v>
      </c>
      <c r="D140" s="10" t="s">
        <v>501</v>
      </c>
      <c r="E140" s="10" t="s">
        <v>502</v>
      </c>
      <c r="F140" s="24" t="s">
        <v>97</v>
      </c>
      <c r="G140" s="25" t="s">
        <v>98</v>
      </c>
      <c r="H140" s="24"/>
    </row>
    <row r="141" spans="1:8" x14ac:dyDescent="0.3">
      <c r="A141" s="10" t="s">
        <v>503</v>
      </c>
      <c r="B141" s="10" t="s">
        <v>82</v>
      </c>
      <c r="C141" s="10" t="s">
        <v>500</v>
      </c>
      <c r="D141" s="10" t="s">
        <v>504</v>
      </c>
      <c r="E141" s="10" t="s">
        <v>119</v>
      </c>
      <c r="F141" s="24" t="s">
        <v>97</v>
      </c>
      <c r="G141" s="25" t="s">
        <v>98</v>
      </c>
      <c r="H141" s="24"/>
    </row>
    <row r="142" spans="1:8" x14ac:dyDescent="0.3">
      <c r="A142" s="10" t="s">
        <v>505</v>
      </c>
      <c r="B142" s="10" t="s">
        <v>82</v>
      </c>
      <c r="C142" s="10" t="s">
        <v>500</v>
      </c>
      <c r="D142" s="10" t="s">
        <v>506</v>
      </c>
      <c r="E142" s="10" t="s">
        <v>507</v>
      </c>
      <c r="F142" s="24" t="s">
        <v>97</v>
      </c>
      <c r="G142" s="25" t="s">
        <v>98</v>
      </c>
      <c r="H142" s="24"/>
    </row>
    <row r="143" spans="1:8" x14ac:dyDescent="0.3">
      <c r="A143" s="10" t="s">
        <v>508</v>
      </c>
      <c r="B143" s="10" t="s">
        <v>82</v>
      </c>
      <c r="C143" s="10" t="s">
        <v>500</v>
      </c>
      <c r="D143" s="10" t="s">
        <v>509</v>
      </c>
      <c r="E143" s="10" t="s">
        <v>119</v>
      </c>
      <c r="F143" s="24" t="s">
        <v>97</v>
      </c>
      <c r="G143" s="25" t="s">
        <v>98</v>
      </c>
      <c r="H143" s="24"/>
    </row>
    <row r="144" spans="1:8" x14ac:dyDescent="0.3">
      <c r="A144" s="10" t="s">
        <v>510</v>
      </c>
      <c r="B144" s="10" t="s">
        <v>82</v>
      </c>
      <c r="C144" s="10" t="s">
        <v>500</v>
      </c>
      <c r="D144" s="10" t="s">
        <v>511</v>
      </c>
      <c r="E144" s="10" t="s">
        <v>101</v>
      </c>
      <c r="F144" s="24" t="s">
        <v>97</v>
      </c>
      <c r="G144" s="25" t="s">
        <v>98</v>
      </c>
      <c r="H144" s="24"/>
    </row>
    <row r="145" spans="1:8" x14ac:dyDescent="0.3">
      <c r="A145" s="10" t="s">
        <v>512</v>
      </c>
      <c r="B145" s="10" t="s">
        <v>82</v>
      </c>
      <c r="C145" s="10" t="s">
        <v>500</v>
      </c>
      <c r="D145" s="10" t="s">
        <v>513</v>
      </c>
      <c r="E145" s="10" t="s">
        <v>502</v>
      </c>
      <c r="F145" s="24" t="s">
        <v>97</v>
      </c>
      <c r="G145" s="25" t="s">
        <v>98</v>
      </c>
      <c r="H145" s="24"/>
    </row>
    <row r="146" spans="1:8" x14ac:dyDescent="0.3">
      <c r="A146" s="10" t="s">
        <v>514</v>
      </c>
      <c r="B146" s="10" t="s">
        <v>82</v>
      </c>
      <c r="C146" s="10" t="s">
        <v>500</v>
      </c>
      <c r="D146" s="10" t="s">
        <v>515</v>
      </c>
      <c r="E146" s="10" t="s">
        <v>119</v>
      </c>
      <c r="F146" s="24" t="s">
        <v>97</v>
      </c>
      <c r="G146" s="25" t="s">
        <v>98</v>
      </c>
      <c r="H146" s="24"/>
    </row>
    <row r="147" spans="1:8" x14ac:dyDescent="0.3">
      <c r="A147" s="10" t="s">
        <v>516</v>
      </c>
      <c r="B147" s="10" t="s">
        <v>82</v>
      </c>
      <c r="C147" s="10" t="s">
        <v>500</v>
      </c>
      <c r="D147" s="10" t="s">
        <v>517</v>
      </c>
      <c r="E147" s="10" t="s">
        <v>518</v>
      </c>
      <c r="F147" s="24" t="s">
        <v>97</v>
      </c>
      <c r="G147" s="25" t="s">
        <v>98</v>
      </c>
      <c r="H147" s="24"/>
    </row>
    <row r="148" spans="1:8" x14ac:dyDescent="0.3">
      <c r="A148" s="10" t="s">
        <v>519</v>
      </c>
      <c r="B148" s="10" t="s">
        <v>82</v>
      </c>
      <c r="C148" s="10" t="s">
        <v>500</v>
      </c>
      <c r="D148" s="10" t="s">
        <v>520</v>
      </c>
      <c r="E148" s="10" t="s">
        <v>521</v>
      </c>
      <c r="F148" s="24" t="s">
        <v>97</v>
      </c>
      <c r="G148" s="25" t="s">
        <v>98</v>
      </c>
      <c r="H148" s="24"/>
    </row>
    <row r="149" spans="1:8" ht="25.75" x14ac:dyDescent="0.3">
      <c r="A149" s="10" t="s">
        <v>522</v>
      </c>
      <c r="B149" s="10" t="s">
        <v>82</v>
      </c>
      <c r="C149" s="10" t="s">
        <v>500</v>
      </c>
      <c r="D149" s="10" t="s">
        <v>523</v>
      </c>
      <c r="E149" s="10" t="s">
        <v>524</v>
      </c>
      <c r="F149" s="24" t="s">
        <v>525</v>
      </c>
      <c r="G149" s="25" t="s">
        <v>223</v>
      </c>
      <c r="H149" s="24" t="s">
        <v>526</v>
      </c>
    </row>
    <row r="150" spans="1:8" x14ac:dyDescent="0.3">
      <c r="A150" s="10" t="s">
        <v>527</v>
      </c>
      <c r="B150" s="10" t="s">
        <v>82</v>
      </c>
      <c r="C150" s="10" t="s">
        <v>500</v>
      </c>
      <c r="D150" s="10" t="s">
        <v>528</v>
      </c>
      <c r="E150" s="10" t="s">
        <v>529</v>
      </c>
      <c r="F150" s="24" t="s">
        <v>97</v>
      </c>
      <c r="G150" s="25" t="s">
        <v>98</v>
      </c>
      <c r="H150" s="24"/>
    </row>
    <row r="151" spans="1:8" x14ac:dyDescent="0.3">
      <c r="A151" s="10" t="s">
        <v>530</v>
      </c>
      <c r="B151" s="10" t="s">
        <v>82</v>
      </c>
      <c r="C151" s="10" t="s">
        <v>500</v>
      </c>
      <c r="D151" s="10" t="s">
        <v>531</v>
      </c>
      <c r="E151" s="10" t="s">
        <v>532</v>
      </c>
      <c r="F151" s="24" t="s">
        <v>97</v>
      </c>
      <c r="G151" s="25" t="s">
        <v>98</v>
      </c>
      <c r="H151" s="24"/>
    </row>
    <row r="152" spans="1:8" ht="25.75" x14ac:dyDescent="0.3">
      <c r="A152" s="10" t="s">
        <v>533</v>
      </c>
      <c r="B152" s="10" t="s">
        <v>82</v>
      </c>
      <c r="C152" s="10" t="s">
        <v>500</v>
      </c>
      <c r="D152" s="10" t="s">
        <v>534</v>
      </c>
      <c r="E152" s="10" t="s">
        <v>535</v>
      </c>
      <c r="F152" s="24" t="s">
        <v>536</v>
      </c>
      <c r="G152" s="25" t="s">
        <v>223</v>
      </c>
      <c r="H152" s="24" t="s">
        <v>537</v>
      </c>
    </row>
    <row r="153" spans="1:8" x14ac:dyDescent="0.3">
      <c r="A153" s="10" t="s">
        <v>538</v>
      </c>
      <c r="B153" s="10" t="s">
        <v>82</v>
      </c>
      <c r="C153" s="10" t="s">
        <v>500</v>
      </c>
      <c r="D153" s="10" t="s">
        <v>539</v>
      </c>
      <c r="E153" s="10" t="s">
        <v>540</v>
      </c>
      <c r="F153" s="24" t="s">
        <v>97</v>
      </c>
      <c r="G153" s="25" t="s">
        <v>98</v>
      </c>
      <c r="H153" s="24"/>
    </row>
    <row r="154" spans="1:8" x14ac:dyDescent="0.3">
      <c r="A154" s="10" t="s">
        <v>541</v>
      </c>
      <c r="B154" s="10" t="s">
        <v>82</v>
      </c>
      <c r="C154" s="10" t="s">
        <v>500</v>
      </c>
      <c r="D154" s="10" t="s">
        <v>542</v>
      </c>
      <c r="E154" s="10" t="s">
        <v>543</v>
      </c>
      <c r="F154" s="24" t="s">
        <v>544</v>
      </c>
      <c r="G154" s="25" t="s">
        <v>223</v>
      </c>
      <c r="H154" s="24" t="s">
        <v>526</v>
      </c>
    </row>
    <row r="155" spans="1:8" x14ac:dyDescent="0.3">
      <c r="A155" s="10" t="s">
        <v>545</v>
      </c>
      <c r="B155" s="10" t="s">
        <v>83</v>
      </c>
      <c r="C155" s="10" t="s">
        <v>546</v>
      </c>
      <c r="D155" s="10" t="s">
        <v>547</v>
      </c>
      <c r="E155" s="10" t="s">
        <v>495</v>
      </c>
      <c r="F155" s="24" t="s">
        <v>97</v>
      </c>
      <c r="G155" s="25" t="s">
        <v>98</v>
      </c>
      <c r="H155" s="24"/>
    </row>
    <row r="156" spans="1:8" x14ac:dyDescent="0.3">
      <c r="A156" s="10" t="s">
        <v>548</v>
      </c>
      <c r="B156" s="10" t="s">
        <v>83</v>
      </c>
      <c r="C156" s="10" t="s">
        <v>546</v>
      </c>
      <c r="D156" s="10" t="s">
        <v>549</v>
      </c>
      <c r="E156" s="10" t="s">
        <v>550</v>
      </c>
      <c r="F156" s="24" t="s">
        <v>97</v>
      </c>
      <c r="G156" s="25" t="s">
        <v>98</v>
      </c>
      <c r="H156" s="24"/>
    </row>
    <row r="157" spans="1:8" x14ac:dyDescent="0.3">
      <c r="A157" s="10" t="s">
        <v>551</v>
      </c>
      <c r="B157" s="10" t="s">
        <v>83</v>
      </c>
      <c r="C157" s="10" t="s">
        <v>546</v>
      </c>
      <c r="D157" s="10" t="s">
        <v>552</v>
      </c>
      <c r="E157" s="10" t="s">
        <v>553</v>
      </c>
      <c r="F157" s="24" t="s">
        <v>97</v>
      </c>
      <c r="G157" s="25" t="s">
        <v>98</v>
      </c>
      <c r="H157" s="24"/>
    </row>
    <row r="158" spans="1:8" x14ac:dyDescent="0.3">
      <c r="A158" s="10" t="s">
        <v>554</v>
      </c>
      <c r="B158" s="10" t="s">
        <v>83</v>
      </c>
      <c r="C158" s="10" t="s">
        <v>546</v>
      </c>
      <c r="D158" s="10" t="s">
        <v>555</v>
      </c>
      <c r="E158" s="10" t="s">
        <v>556</v>
      </c>
      <c r="F158" s="24" t="s">
        <v>97</v>
      </c>
      <c r="G158" s="25" t="s">
        <v>98</v>
      </c>
      <c r="H158" s="24"/>
    </row>
    <row r="159" spans="1:8" x14ac:dyDescent="0.3">
      <c r="A159" s="10" t="s">
        <v>557</v>
      </c>
      <c r="B159" s="10" t="s">
        <v>83</v>
      </c>
      <c r="C159" s="10" t="s">
        <v>546</v>
      </c>
      <c r="D159" s="10" t="s">
        <v>558</v>
      </c>
      <c r="E159" s="10" t="s">
        <v>559</v>
      </c>
      <c r="F159" s="24" t="s">
        <v>97</v>
      </c>
      <c r="G159" s="25" t="s">
        <v>98</v>
      </c>
      <c r="H159" s="24"/>
    </row>
    <row r="160" spans="1:8" x14ac:dyDescent="0.3">
      <c r="A160" s="10" t="s">
        <v>560</v>
      </c>
      <c r="B160" s="10" t="s">
        <v>83</v>
      </c>
      <c r="C160" s="10" t="s">
        <v>546</v>
      </c>
      <c r="D160" s="10" t="s">
        <v>561</v>
      </c>
      <c r="E160" s="10" t="s">
        <v>562</v>
      </c>
      <c r="F160" s="24" t="s">
        <v>97</v>
      </c>
      <c r="G160" s="25" t="s">
        <v>98</v>
      </c>
      <c r="H160" s="24"/>
    </row>
    <row r="161" spans="1:8" x14ac:dyDescent="0.3">
      <c r="A161" s="10" t="s">
        <v>563</v>
      </c>
      <c r="B161" s="10" t="s">
        <v>83</v>
      </c>
      <c r="C161" s="10" t="s">
        <v>546</v>
      </c>
      <c r="D161" s="10" t="s">
        <v>564</v>
      </c>
      <c r="E161" s="10" t="s">
        <v>565</v>
      </c>
      <c r="F161" s="24" t="s">
        <v>97</v>
      </c>
      <c r="G161" s="25" t="s">
        <v>98</v>
      </c>
      <c r="H161" s="24"/>
    </row>
    <row r="162" spans="1:8" x14ac:dyDescent="0.3">
      <c r="A162" s="10" t="s">
        <v>566</v>
      </c>
      <c r="B162" s="10" t="s">
        <v>83</v>
      </c>
      <c r="C162" s="10" t="s">
        <v>546</v>
      </c>
      <c r="D162" s="10" t="s">
        <v>567</v>
      </c>
      <c r="E162" s="10" t="s">
        <v>568</v>
      </c>
      <c r="F162" s="24" t="s">
        <v>97</v>
      </c>
      <c r="G162" s="25" t="s">
        <v>98</v>
      </c>
      <c r="H162" s="24"/>
    </row>
    <row r="163" spans="1:8" x14ac:dyDescent="0.3">
      <c r="A163" s="10" t="s">
        <v>569</v>
      </c>
      <c r="B163" s="10" t="s">
        <v>83</v>
      </c>
      <c r="C163" s="10" t="s">
        <v>546</v>
      </c>
      <c r="D163" s="10" t="s">
        <v>570</v>
      </c>
      <c r="E163" s="10" t="s">
        <v>571</v>
      </c>
      <c r="F163" s="24" t="s">
        <v>97</v>
      </c>
      <c r="G163" s="25" t="s">
        <v>98</v>
      </c>
      <c r="H163" s="24"/>
    </row>
    <row r="164" spans="1:8" x14ac:dyDescent="0.3">
      <c r="A164" s="10" t="s">
        <v>572</v>
      </c>
      <c r="B164" s="10" t="s">
        <v>83</v>
      </c>
      <c r="C164" s="10" t="s">
        <v>546</v>
      </c>
      <c r="D164" s="10" t="s">
        <v>573</v>
      </c>
      <c r="E164" s="10" t="s">
        <v>574</v>
      </c>
      <c r="F164" s="24" t="s">
        <v>97</v>
      </c>
      <c r="G164" s="25" t="s">
        <v>98</v>
      </c>
      <c r="H164" s="24"/>
    </row>
    <row r="165" spans="1:8" x14ac:dyDescent="0.3">
      <c r="A165" s="10" t="s">
        <v>575</v>
      </c>
      <c r="B165" s="10" t="s">
        <v>84</v>
      </c>
      <c r="C165" s="10" t="s">
        <v>576</v>
      </c>
      <c r="D165" s="10" t="s">
        <v>577</v>
      </c>
      <c r="E165" s="10" t="s">
        <v>578</v>
      </c>
      <c r="F165" s="24" t="s">
        <v>97</v>
      </c>
      <c r="G165" s="25" t="s">
        <v>98</v>
      </c>
      <c r="H165" s="24"/>
    </row>
    <row r="166" spans="1:8" x14ac:dyDescent="0.3">
      <c r="A166" s="10" t="s">
        <v>579</v>
      </c>
      <c r="B166" s="10" t="s">
        <v>84</v>
      </c>
      <c r="C166" s="10" t="s">
        <v>576</v>
      </c>
      <c r="D166" s="10" t="s">
        <v>580</v>
      </c>
      <c r="E166" s="10" t="s">
        <v>581</v>
      </c>
      <c r="F166" s="24" t="s">
        <v>97</v>
      </c>
      <c r="G166" s="25" t="s">
        <v>98</v>
      </c>
      <c r="H166" s="24"/>
    </row>
    <row r="167" spans="1:8" x14ac:dyDescent="0.3">
      <c r="A167" s="10" t="s">
        <v>582</v>
      </c>
      <c r="B167" s="10" t="s">
        <v>84</v>
      </c>
      <c r="C167" s="10" t="s">
        <v>576</v>
      </c>
      <c r="D167" s="10" t="s">
        <v>583</v>
      </c>
      <c r="E167" s="10" t="s">
        <v>584</v>
      </c>
      <c r="F167" s="24" t="s">
        <v>97</v>
      </c>
      <c r="G167" s="25" t="s">
        <v>98</v>
      </c>
      <c r="H167" s="24"/>
    </row>
    <row r="168" spans="1:8" x14ac:dyDescent="0.3">
      <c r="A168" s="10" t="s">
        <v>585</v>
      </c>
      <c r="B168" s="10" t="s">
        <v>84</v>
      </c>
      <c r="C168" s="10" t="s">
        <v>576</v>
      </c>
      <c r="D168" s="10" t="s">
        <v>586</v>
      </c>
      <c r="E168" s="10" t="s">
        <v>587</v>
      </c>
      <c r="F168" s="24" t="s">
        <v>97</v>
      </c>
      <c r="G168" s="25" t="s">
        <v>98</v>
      </c>
      <c r="H168" s="24"/>
    </row>
    <row r="169" spans="1:8" x14ac:dyDescent="0.3">
      <c r="A169" s="10" t="s">
        <v>588</v>
      </c>
      <c r="B169" s="10" t="s">
        <v>84</v>
      </c>
      <c r="C169" s="10" t="s">
        <v>576</v>
      </c>
      <c r="D169" s="10" t="s">
        <v>589</v>
      </c>
      <c r="E169" s="10" t="s">
        <v>590</v>
      </c>
      <c r="F169" s="24" t="s">
        <v>97</v>
      </c>
      <c r="G169" s="25" t="s">
        <v>98</v>
      </c>
      <c r="H169" s="24"/>
    </row>
    <row r="170" spans="1:8" x14ac:dyDescent="0.3">
      <c r="A170" s="10" t="s">
        <v>591</v>
      </c>
      <c r="B170" s="10" t="s">
        <v>84</v>
      </c>
      <c r="C170" s="10" t="s">
        <v>576</v>
      </c>
      <c r="D170" s="10" t="s">
        <v>592</v>
      </c>
      <c r="E170" s="10" t="s">
        <v>119</v>
      </c>
      <c r="F170" s="24" t="s">
        <v>97</v>
      </c>
      <c r="G170" s="25" t="s">
        <v>98</v>
      </c>
      <c r="H170" s="24"/>
    </row>
    <row r="171" spans="1:8" x14ac:dyDescent="0.3">
      <c r="A171" s="10" t="s">
        <v>593</v>
      </c>
      <c r="B171" s="10" t="s">
        <v>84</v>
      </c>
      <c r="C171" s="10" t="s">
        <v>576</v>
      </c>
      <c r="D171" s="10" t="s">
        <v>594</v>
      </c>
      <c r="E171" s="10" t="s">
        <v>595</v>
      </c>
      <c r="F171" s="24" t="s">
        <v>97</v>
      </c>
      <c r="G171" s="25" t="s">
        <v>98</v>
      </c>
      <c r="H171" s="24"/>
    </row>
    <row r="172" spans="1:8" x14ac:dyDescent="0.3">
      <c r="A172" s="10" t="s">
        <v>596</v>
      </c>
      <c r="B172" s="10" t="s">
        <v>84</v>
      </c>
      <c r="C172" s="10" t="s">
        <v>576</v>
      </c>
      <c r="D172" s="10" t="s">
        <v>597</v>
      </c>
      <c r="E172" s="10" t="s">
        <v>598</v>
      </c>
      <c r="F172" s="24" t="s">
        <v>97</v>
      </c>
      <c r="G172" s="25" t="s">
        <v>98</v>
      </c>
      <c r="H172" s="24"/>
    </row>
    <row r="173" spans="1:8" x14ac:dyDescent="0.3">
      <c r="A173" s="10" t="s">
        <v>599</v>
      </c>
      <c r="B173" s="10" t="s">
        <v>84</v>
      </c>
      <c r="C173" s="10" t="s">
        <v>576</v>
      </c>
      <c r="D173" s="10" t="s">
        <v>600</v>
      </c>
      <c r="E173" s="10" t="s">
        <v>601</v>
      </c>
      <c r="F173" s="24" t="s">
        <v>97</v>
      </c>
      <c r="G173" s="25" t="s">
        <v>98</v>
      </c>
      <c r="H173" s="24"/>
    </row>
    <row r="174" spans="1:8" x14ac:dyDescent="0.3">
      <c r="A174" s="10" t="s">
        <v>602</v>
      </c>
      <c r="B174" s="10" t="s">
        <v>84</v>
      </c>
      <c r="C174" s="10" t="s">
        <v>603</v>
      </c>
      <c r="D174" s="10" t="s">
        <v>181</v>
      </c>
      <c r="E174" s="10" t="s">
        <v>182</v>
      </c>
      <c r="F174" s="24" t="s">
        <v>97</v>
      </c>
      <c r="G174" s="25" t="s">
        <v>98</v>
      </c>
      <c r="H174" s="24"/>
    </row>
    <row r="176" spans="1:8" x14ac:dyDescent="0.3">
      <c r="A176" s="4" t="s">
        <v>604</v>
      </c>
    </row>
  </sheetData>
  <autoFilter ref="A1:H174" xr:uid="{00000000-0009-0000-0000-000002000000}"/>
  <conditionalFormatting sqref="G2:G174">
    <cfRule type="cellIs" dxfId="2" priority="2" operator="equal">
      <formula>"Pass"</formula>
    </cfRule>
    <cfRule type="cellIs" dxfId="1" priority="3" operator="equal">
      <formula>"Fail"</formula>
    </cfRule>
  </conditionalFormatting>
  <dataValidations count="1">
    <dataValidation type="list" sqref="G2:G174" xr:uid="{00000000-0002-0000-02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zoomScaleNormal="100" workbookViewId="0">
      <pane ySplit="1" topLeftCell="A2" activePane="bottomLeft" state="frozen"/>
      <selection pane="bottomLeft"/>
    </sheetView>
  </sheetViews>
  <sheetFormatPr defaultColWidth="8.6640625" defaultRowHeight="14.8" x14ac:dyDescent="0.3"/>
  <cols>
    <col min="1" max="1" width="9" customWidth="1"/>
    <col min="2" max="2" width="15" customWidth="1"/>
    <col min="3" max="3" width="60" customWidth="1"/>
    <col min="4" max="4" width="22" customWidth="1"/>
    <col min="5" max="5" width="13" customWidth="1"/>
    <col min="6" max="6" width="16" customWidth="1"/>
    <col min="7" max="7" width="10" customWidth="1"/>
  </cols>
  <sheetData>
    <row r="1" spans="1:7" ht="27" x14ac:dyDescent="0.3">
      <c r="A1" s="9" t="s">
        <v>87</v>
      </c>
      <c r="B1" s="9" t="s">
        <v>67</v>
      </c>
      <c r="C1" s="9" t="s">
        <v>605</v>
      </c>
      <c r="D1" s="9" t="s">
        <v>606</v>
      </c>
      <c r="E1" s="9" t="s">
        <v>607</v>
      </c>
      <c r="F1" s="9" t="s">
        <v>608</v>
      </c>
      <c r="G1" s="9" t="s">
        <v>609</v>
      </c>
    </row>
    <row r="2" spans="1:7" x14ac:dyDescent="0.3">
      <c r="A2" s="10" t="s">
        <v>94</v>
      </c>
      <c r="B2" s="10" t="s">
        <v>73</v>
      </c>
      <c r="C2" s="10" t="s">
        <v>610</v>
      </c>
      <c r="D2" s="10" t="s">
        <v>611</v>
      </c>
      <c r="E2" s="10">
        <f>COUNTIF('Test Cases'!$C$2:$C$174,A2)</f>
        <v>18</v>
      </c>
      <c r="F2" s="10">
        <f>COUNTIFS('Test Cases'!$C$2:$C$174,A2,'Test Cases'!$G$2:$G$174,"Pass")+COUNTIFS('Test Cases'!$C$2:$C$174,A2,'Test Cases'!$G$2:$G$174,"Fail")</f>
        <v>18</v>
      </c>
      <c r="G2" s="26" t="str">
        <f t="shared" ref="G2:G15" si="0">IF(F2&gt;0,"Yes","No")</f>
        <v>Yes</v>
      </c>
    </row>
    <row r="3" spans="1:7" x14ac:dyDescent="0.3">
      <c r="A3" s="10" t="s">
        <v>147</v>
      </c>
      <c r="B3" s="10" t="s">
        <v>74</v>
      </c>
      <c r="C3" s="10" t="s">
        <v>612</v>
      </c>
      <c r="D3" s="10" t="s">
        <v>613</v>
      </c>
      <c r="E3" s="10">
        <f>COUNTIF('Test Cases'!$C$2:$C$174,A3)</f>
        <v>15</v>
      </c>
      <c r="F3" s="10">
        <f>COUNTIFS('Test Cases'!$C$2:$C$174,A3,'Test Cases'!$G$2:$G$174,"Pass")+COUNTIFS('Test Cases'!$C$2:$C$174,A3,'Test Cases'!$G$2:$G$174,"Fail")</f>
        <v>15</v>
      </c>
      <c r="G3" s="26" t="str">
        <f t="shared" si="0"/>
        <v>Yes</v>
      </c>
    </row>
    <row r="4" spans="1:7" x14ac:dyDescent="0.3">
      <c r="A4" s="10" t="s">
        <v>187</v>
      </c>
      <c r="B4" s="10" t="s">
        <v>614</v>
      </c>
      <c r="C4" s="10" t="s">
        <v>615</v>
      </c>
      <c r="D4" s="10" t="s">
        <v>616</v>
      </c>
      <c r="E4" s="10">
        <f>COUNTIF('Test Cases'!$C$2:$C$174,A4)</f>
        <v>12</v>
      </c>
      <c r="F4" s="10">
        <f>COUNTIFS('Test Cases'!$C$2:$C$174,A4,'Test Cases'!$G$2:$G$174,"Pass")+COUNTIFS('Test Cases'!$C$2:$C$174,A4,'Test Cases'!$G$2:$G$174,"Fail")</f>
        <v>12</v>
      </c>
      <c r="G4" s="26" t="str">
        <f t="shared" si="0"/>
        <v>Yes</v>
      </c>
    </row>
    <row r="5" spans="1:7" x14ac:dyDescent="0.3">
      <c r="A5" s="10" t="s">
        <v>226</v>
      </c>
      <c r="B5" s="10" t="s">
        <v>617</v>
      </c>
      <c r="C5" s="10" t="s">
        <v>618</v>
      </c>
      <c r="D5" s="10" t="s">
        <v>619</v>
      </c>
      <c r="E5" s="10">
        <f>COUNTIF('Test Cases'!$C$2:$C$174,A5)</f>
        <v>15</v>
      </c>
      <c r="F5" s="10">
        <f>COUNTIFS('Test Cases'!$C$2:$C$174,A5,'Test Cases'!$G$2:$G$174,"Pass")+COUNTIFS('Test Cases'!$C$2:$C$174,A5,'Test Cases'!$G$2:$G$174,"Fail")</f>
        <v>15</v>
      </c>
      <c r="G5" s="26" t="str">
        <f t="shared" si="0"/>
        <v>Yes</v>
      </c>
    </row>
    <row r="6" spans="1:7" x14ac:dyDescent="0.3">
      <c r="A6" s="10" t="s">
        <v>273</v>
      </c>
      <c r="B6" s="10" t="s">
        <v>620</v>
      </c>
      <c r="C6" s="10" t="s">
        <v>621</v>
      </c>
      <c r="D6" s="10" t="s">
        <v>622</v>
      </c>
      <c r="E6" s="10">
        <f>COUNTIF('Test Cases'!$C$2:$C$174,A6)</f>
        <v>20</v>
      </c>
      <c r="F6" s="10">
        <f>COUNTIFS('Test Cases'!$C$2:$C$174,A6,'Test Cases'!$G$2:$G$174,"Pass")+COUNTIFS('Test Cases'!$C$2:$C$174,A6,'Test Cases'!$G$2:$G$174,"Fail")</f>
        <v>20</v>
      </c>
      <c r="G6" s="26" t="str">
        <f t="shared" si="0"/>
        <v>Yes</v>
      </c>
    </row>
    <row r="7" spans="1:7" x14ac:dyDescent="0.3">
      <c r="A7" s="10" t="s">
        <v>334</v>
      </c>
      <c r="B7" s="10" t="s">
        <v>623</v>
      </c>
      <c r="C7" s="10" t="s">
        <v>624</v>
      </c>
      <c r="D7" s="10" t="s">
        <v>625</v>
      </c>
      <c r="E7" s="10">
        <f>COUNTIF('Test Cases'!$C$2:$C$174,A7)</f>
        <v>8</v>
      </c>
      <c r="F7" s="10">
        <f>COUNTIFS('Test Cases'!$C$2:$C$174,A7,'Test Cases'!$G$2:$G$174,"Pass")+COUNTIFS('Test Cases'!$C$2:$C$174,A7,'Test Cases'!$G$2:$G$174,"Fail")</f>
        <v>8</v>
      </c>
      <c r="G7" s="26" t="str">
        <f t="shared" si="0"/>
        <v>Yes</v>
      </c>
    </row>
    <row r="8" spans="1:7" x14ac:dyDescent="0.3">
      <c r="A8" s="10" t="s">
        <v>357</v>
      </c>
      <c r="B8" s="10" t="s">
        <v>626</v>
      </c>
      <c r="C8" s="10" t="s">
        <v>627</v>
      </c>
      <c r="D8" s="10" t="s">
        <v>628</v>
      </c>
      <c r="E8" s="10">
        <f>COUNTIF('Test Cases'!$C$2:$C$174,A8)</f>
        <v>7</v>
      </c>
      <c r="F8" s="10">
        <f>COUNTIFS('Test Cases'!$C$2:$C$174,A8,'Test Cases'!$G$2:$G$174,"Pass")+COUNTIFS('Test Cases'!$C$2:$C$174,A8,'Test Cases'!$G$2:$G$174,"Fail")</f>
        <v>7</v>
      </c>
      <c r="G8" s="26" t="str">
        <f t="shared" si="0"/>
        <v>Yes</v>
      </c>
    </row>
    <row r="9" spans="1:7" x14ac:dyDescent="0.3">
      <c r="A9" s="10" t="s">
        <v>379</v>
      </c>
      <c r="B9" s="10" t="s">
        <v>79</v>
      </c>
      <c r="C9" s="10" t="s">
        <v>629</v>
      </c>
      <c r="D9" s="10" t="s">
        <v>630</v>
      </c>
      <c r="E9" s="10">
        <f>COUNTIF('Test Cases'!$C$2:$C$174,A9)</f>
        <v>20</v>
      </c>
      <c r="F9" s="10">
        <f>COUNTIFS('Test Cases'!$C$2:$C$174,A9,'Test Cases'!$G$2:$G$174,"Pass")+COUNTIFS('Test Cases'!$C$2:$C$174,A9,'Test Cases'!$G$2:$G$174,"Fail")</f>
        <v>20</v>
      </c>
      <c r="G9" s="26" t="str">
        <f t="shared" si="0"/>
        <v>Yes</v>
      </c>
    </row>
    <row r="10" spans="1:7" x14ac:dyDescent="0.3">
      <c r="A10" s="10" t="s">
        <v>435</v>
      </c>
      <c r="B10" s="10" t="s">
        <v>80</v>
      </c>
      <c r="C10" s="10" t="s">
        <v>631</v>
      </c>
      <c r="D10" s="10" t="s">
        <v>632</v>
      </c>
      <c r="E10" s="10">
        <f>COUNTIF('Test Cases'!$C$2:$C$174,A10)</f>
        <v>8</v>
      </c>
      <c r="F10" s="10">
        <f>COUNTIFS('Test Cases'!$C$2:$C$174,A10,'Test Cases'!$G$2:$G$174,"Pass")+COUNTIFS('Test Cases'!$C$2:$C$174,A10,'Test Cases'!$G$2:$G$174,"Fail")</f>
        <v>8</v>
      </c>
      <c r="G10" s="26" t="str">
        <f t="shared" si="0"/>
        <v>Yes</v>
      </c>
    </row>
    <row r="11" spans="1:7" x14ac:dyDescent="0.3">
      <c r="A11" s="10" t="s">
        <v>456</v>
      </c>
      <c r="B11" s="10" t="s">
        <v>81</v>
      </c>
      <c r="C11" s="10" t="s">
        <v>633</v>
      </c>
      <c r="D11" s="10" t="s">
        <v>634</v>
      </c>
      <c r="E11" s="10">
        <f>COUNTIF('Test Cases'!$C$2:$C$174,A11)</f>
        <v>15</v>
      </c>
      <c r="F11" s="10">
        <f>COUNTIFS('Test Cases'!$C$2:$C$174,A11,'Test Cases'!$G$2:$G$174,"Pass")+COUNTIFS('Test Cases'!$C$2:$C$174,A11,'Test Cases'!$G$2:$G$174,"Fail")</f>
        <v>15</v>
      </c>
      <c r="G11" s="26" t="str">
        <f t="shared" si="0"/>
        <v>Yes</v>
      </c>
    </row>
    <row r="12" spans="1:7" x14ac:dyDescent="0.3">
      <c r="A12" s="10" t="s">
        <v>500</v>
      </c>
      <c r="B12" s="10" t="s">
        <v>82</v>
      </c>
      <c r="C12" s="10" t="s">
        <v>635</v>
      </c>
      <c r="D12" s="10" t="s">
        <v>636</v>
      </c>
      <c r="E12" s="10">
        <f>COUNTIF('Test Cases'!$C$2:$C$174,A12)</f>
        <v>15</v>
      </c>
      <c r="F12" s="10">
        <f>COUNTIFS('Test Cases'!$C$2:$C$174,A12,'Test Cases'!$G$2:$G$174,"Pass")+COUNTIFS('Test Cases'!$C$2:$C$174,A12,'Test Cases'!$G$2:$G$174,"Fail")</f>
        <v>15</v>
      </c>
      <c r="G12" s="26" t="str">
        <f t="shared" si="0"/>
        <v>Yes</v>
      </c>
    </row>
    <row r="13" spans="1:7" x14ac:dyDescent="0.3">
      <c r="A13" s="10" t="s">
        <v>546</v>
      </c>
      <c r="B13" s="10" t="s">
        <v>83</v>
      </c>
      <c r="C13" s="10" t="s">
        <v>637</v>
      </c>
      <c r="D13" s="10" t="s">
        <v>638</v>
      </c>
      <c r="E13" s="10">
        <f>COUNTIF('Test Cases'!$C$2:$C$174,A13)</f>
        <v>10</v>
      </c>
      <c r="F13" s="10">
        <f>COUNTIFS('Test Cases'!$C$2:$C$174,A13,'Test Cases'!$G$2:$G$174,"Pass")+COUNTIFS('Test Cases'!$C$2:$C$174,A13,'Test Cases'!$G$2:$G$174,"Fail")</f>
        <v>10</v>
      </c>
      <c r="G13" s="26" t="str">
        <f t="shared" si="0"/>
        <v>Yes</v>
      </c>
    </row>
    <row r="14" spans="1:7" x14ac:dyDescent="0.3">
      <c r="A14" s="10" t="s">
        <v>576</v>
      </c>
      <c r="B14" s="10" t="s">
        <v>84</v>
      </c>
      <c r="C14" s="10" t="s">
        <v>639</v>
      </c>
      <c r="D14" s="10" t="s">
        <v>640</v>
      </c>
      <c r="E14" s="10">
        <f>COUNTIF('Test Cases'!$C$2:$C$174,A14)</f>
        <v>9</v>
      </c>
      <c r="F14" s="10">
        <f>COUNTIFS('Test Cases'!$C$2:$C$174,A14,'Test Cases'!$G$2:$G$174,"Pass")+COUNTIFS('Test Cases'!$C$2:$C$174,A14,'Test Cases'!$G$2:$G$174,"Fail")</f>
        <v>9</v>
      </c>
      <c r="G14" s="26" t="str">
        <f t="shared" si="0"/>
        <v>Yes</v>
      </c>
    </row>
    <row r="15" spans="1:7" x14ac:dyDescent="0.3">
      <c r="A15" s="10" t="s">
        <v>603</v>
      </c>
      <c r="B15" s="10" t="s">
        <v>181</v>
      </c>
      <c r="C15" s="10" t="s">
        <v>641</v>
      </c>
      <c r="D15" s="10" t="s">
        <v>602</v>
      </c>
      <c r="E15" s="10">
        <f>COUNTIF('Test Cases'!$C$2:$C$174,A15)</f>
        <v>1</v>
      </c>
      <c r="F15" s="10">
        <f>COUNTIFS('Test Cases'!$C$2:$C$174,A15,'Test Cases'!$G$2:$G$174,"Pass")+COUNTIFS('Test Cases'!$C$2:$C$174,A15,'Test Cases'!$G$2:$G$174,"Fail")</f>
        <v>1</v>
      </c>
      <c r="G15" s="26" t="str">
        <f t="shared" si="0"/>
        <v>Yes</v>
      </c>
    </row>
    <row r="17" spans="1:1" x14ac:dyDescent="0.3">
      <c r="A17" s="4" t="s">
        <v>642</v>
      </c>
    </row>
  </sheetData>
  <conditionalFormatting sqref="G2:G15">
    <cfRule type="cellIs" dxfId="0" priority="2" operator="equal">
      <formula>"No"</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
  <sheetViews>
    <sheetView zoomScaleNormal="100" workbookViewId="0">
      <pane ySplit="1" topLeftCell="A2" activePane="bottomLeft" state="frozen"/>
      <selection pane="bottomLeft"/>
    </sheetView>
  </sheetViews>
  <sheetFormatPr defaultColWidth="8.6640625" defaultRowHeight="14.8" x14ac:dyDescent="0.3"/>
  <cols>
    <col min="1" max="1" width="10" customWidth="1"/>
    <col min="2" max="2" width="22" customWidth="1"/>
    <col min="3" max="3" width="16" customWidth="1"/>
    <col min="4" max="4" width="56" customWidth="1"/>
    <col min="5" max="5" width="11" customWidth="1"/>
    <col min="6" max="6" width="10" customWidth="1"/>
  </cols>
  <sheetData>
    <row r="1" spans="1:6" ht="27" x14ac:dyDescent="0.3">
      <c r="A1" s="9" t="s">
        <v>92</v>
      </c>
      <c r="B1" s="9" t="s">
        <v>67</v>
      </c>
      <c r="C1" s="9" t="s">
        <v>643</v>
      </c>
      <c r="D1" s="9" t="s">
        <v>644</v>
      </c>
      <c r="E1" s="9" t="s">
        <v>42</v>
      </c>
      <c r="F1" s="9" t="s">
        <v>91</v>
      </c>
    </row>
    <row r="2" spans="1:6" x14ac:dyDescent="0.3">
      <c r="A2" s="10" t="s">
        <v>526</v>
      </c>
      <c r="B2" s="10" t="s">
        <v>82</v>
      </c>
      <c r="C2" s="10">
        <f>COUNTIF('Test Cases'!$H$2:$H$174,A2)</f>
        <v>2</v>
      </c>
      <c r="D2" s="10" t="s">
        <v>645</v>
      </c>
      <c r="E2" s="24" t="s">
        <v>47</v>
      </c>
      <c r="F2" s="24" t="s">
        <v>646</v>
      </c>
    </row>
    <row r="3" spans="1:6" x14ac:dyDescent="0.3">
      <c r="A3" s="10" t="s">
        <v>537</v>
      </c>
      <c r="B3" s="10" t="s">
        <v>82</v>
      </c>
      <c r="C3" s="10">
        <f>COUNTIF('Test Cases'!$H$2:$H$174,A3)</f>
        <v>1</v>
      </c>
      <c r="D3" s="10" t="s">
        <v>647</v>
      </c>
      <c r="E3" s="24" t="s">
        <v>47</v>
      </c>
      <c r="F3" s="24" t="s">
        <v>646</v>
      </c>
    </row>
    <row r="4" spans="1:6" x14ac:dyDescent="0.3">
      <c r="A4" s="10" t="s">
        <v>319</v>
      </c>
      <c r="B4" s="10" t="s">
        <v>648</v>
      </c>
      <c r="C4" s="10">
        <f>COUNTIF('Test Cases'!$H$2:$H$174,A4)</f>
        <v>2</v>
      </c>
      <c r="D4" s="10" t="s">
        <v>649</v>
      </c>
      <c r="E4" s="24" t="s">
        <v>48</v>
      </c>
      <c r="F4" s="24" t="s">
        <v>646</v>
      </c>
    </row>
    <row r="5" spans="1:6" x14ac:dyDescent="0.3">
      <c r="A5" s="10" t="s">
        <v>486</v>
      </c>
      <c r="B5" s="10" t="s">
        <v>81</v>
      </c>
      <c r="C5" s="10">
        <f>COUNTIF('Test Cases'!$H$2:$H$174,A5)</f>
        <v>1</v>
      </c>
      <c r="D5" s="10" t="s">
        <v>485</v>
      </c>
      <c r="E5" s="24" t="s">
        <v>48</v>
      </c>
      <c r="F5" s="24" t="s">
        <v>646</v>
      </c>
    </row>
    <row r="6" spans="1:6" x14ac:dyDescent="0.3">
      <c r="A6" s="10" t="s">
        <v>412</v>
      </c>
      <c r="B6" s="10" t="s">
        <v>79</v>
      </c>
      <c r="C6" s="10">
        <f>COUNTIF('Test Cases'!$H$2:$H$174,A6)</f>
        <v>1</v>
      </c>
      <c r="D6" s="10" t="s">
        <v>650</v>
      </c>
      <c r="E6" s="24" t="s">
        <v>49</v>
      </c>
      <c r="F6" s="24" t="s">
        <v>646</v>
      </c>
    </row>
    <row r="7" spans="1:6" x14ac:dyDescent="0.3">
      <c r="A7" s="10" t="s">
        <v>374</v>
      </c>
      <c r="B7" s="10" t="s">
        <v>78</v>
      </c>
      <c r="C7" s="10">
        <f>COUNTIF('Test Cases'!$H$2:$H$174,A7)</f>
        <v>1</v>
      </c>
      <c r="D7" s="10" t="s">
        <v>373</v>
      </c>
      <c r="E7" s="24" t="s">
        <v>49</v>
      </c>
      <c r="F7" s="24" t="s">
        <v>646</v>
      </c>
    </row>
    <row r="8" spans="1:6" x14ac:dyDescent="0.3">
      <c r="A8" s="10" t="s">
        <v>253</v>
      </c>
      <c r="B8" s="10" t="s">
        <v>76</v>
      </c>
      <c r="C8" s="10">
        <f>COUNTIF('Test Cases'!$H$2:$H$174,A8)</f>
        <v>1</v>
      </c>
      <c r="D8" s="10" t="s">
        <v>651</v>
      </c>
      <c r="E8" s="24" t="s">
        <v>49</v>
      </c>
      <c r="F8" s="24" t="s">
        <v>646</v>
      </c>
    </row>
    <row r="9" spans="1:6" x14ac:dyDescent="0.3">
      <c r="A9" s="10" t="s">
        <v>224</v>
      </c>
      <c r="B9" s="10" t="s">
        <v>75</v>
      </c>
      <c r="C9" s="10">
        <f>COUNTIF('Test Cases'!$H$2:$H$174,A9)</f>
        <v>1</v>
      </c>
      <c r="D9" s="10" t="s">
        <v>222</v>
      </c>
      <c r="E9" s="24" t="s">
        <v>50</v>
      </c>
      <c r="F9" s="24" t="s">
        <v>646</v>
      </c>
    </row>
    <row r="10" spans="1:6" x14ac:dyDescent="0.3">
      <c r="A10" s="27" t="s">
        <v>51</v>
      </c>
      <c r="B10" s="27"/>
      <c r="C10" s="27">
        <f>SUM(C2:C9)</f>
        <v>10</v>
      </c>
      <c r="D10" s="27"/>
      <c r="E10" s="27"/>
      <c r="F10" s="27"/>
    </row>
    <row r="12" spans="1:6" x14ac:dyDescent="0.3">
      <c r="A12" s="4" t="s">
        <v>652</v>
      </c>
    </row>
  </sheetData>
  <dataValidations count="1">
    <dataValidation type="list" sqref="E2:E9" xr:uid="{00000000-0002-0000-0400-000000000000}">
      <formula1>"Critical,High,Medium,Low"</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zoomScaleNormal="100" workbookViewId="0"/>
  </sheetViews>
  <sheetFormatPr defaultColWidth="8.6640625" defaultRowHeight="14.8" x14ac:dyDescent="0.3"/>
  <cols>
    <col min="1" max="1" width="10" customWidth="1"/>
    <col min="2" max="2" width="24" customWidth="1"/>
  </cols>
  <sheetData>
    <row r="1" spans="1:2" x14ac:dyDescent="0.3">
      <c r="A1" s="9" t="s">
        <v>653</v>
      </c>
      <c r="B1" s="9" t="s">
        <v>654</v>
      </c>
    </row>
    <row r="2" spans="1:2" x14ac:dyDescent="0.3">
      <c r="A2" s="10" t="s">
        <v>655</v>
      </c>
      <c r="B2" s="24">
        <v>2</v>
      </c>
    </row>
    <row r="3" spans="1:2" x14ac:dyDescent="0.3">
      <c r="A3" s="10" t="s">
        <v>656</v>
      </c>
      <c r="B3" s="24">
        <v>3</v>
      </c>
    </row>
    <row r="4" spans="1:2" x14ac:dyDescent="0.3">
      <c r="A4" s="10" t="s">
        <v>657</v>
      </c>
      <c r="B4" s="24">
        <v>4</v>
      </c>
    </row>
    <row r="5" spans="1:2" x14ac:dyDescent="0.3">
      <c r="A5" s="10" t="s">
        <v>658</v>
      </c>
      <c r="B5" s="24">
        <v>3</v>
      </c>
    </row>
    <row r="6" spans="1:2" x14ac:dyDescent="0.3">
      <c r="A6" s="10" t="s">
        <v>659</v>
      </c>
      <c r="B6" s="24">
        <v>8</v>
      </c>
    </row>
    <row r="8" spans="1:2" x14ac:dyDescent="0.3">
      <c r="A8" s="4" t="s">
        <v>660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Metrics</vt:lpstr>
      <vt:lpstr>Module Summary</vt:lpstr>
      <vt:lpstr>Test Cases</vt:lpstr>
      <vt:lpstr>Requirements</vt:lpstr>
      <vt:lpstr>Defects</vt:lpstr>
      <vt:lpstr>Response Times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viswanadham venkata sai sruthi</cp:lastModifiedBy>
  <cp:revision>0</cp:revision>
  <dcterms:created xsi:type="dcterms:W3CDTF">2026-09-24T08:06:27Z</dcterms:created>
  <dcterms:modified xsi:type="dcterms:W3CDTF">2026-09-24T09:02:22Z</dcterms:modified>
  <dc:language>en-US</dc:language>
</cp:coreProperties>
</file>