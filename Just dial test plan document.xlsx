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A154793-7747-47AB-AE17-C871EAE106B4}" xr6:coauthVersionLast="47" xr6:coauthVersionMax="47" xr10:uidLastSave="{00000000-0000-0000-0000-000000000000}"/>
  <bookViews>
    <workbookView xWindow="-116" yWindow="-116" windowWidth="24917" windowHeight="14117" tabRatio="500" xr2:uid="{00000000-000D-0000-FFFF-FFFF00000000}"/>
  </bookViews>
  <sheets>
    <sheet name="Tes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E6" i="1"/>
  <c r="G4" i="1"/>
  <c r="F4" i="1"/>
  <c r="E4" i="1"/>
  <c r="G6" i="1" l="1"/>
  <c r="H4" i="1"/>
  <c r="H6" i="1" s="1"/>
</calcChain>
</file>

<file path=xl/sharedStrings.xml><?xml version="1.0" encoding="utf-8"?>
<sst xmlns="http://schemas.openxmlformats.org/spreadsheetml/2006/main" count="101" uniqueCount="85">
  <si>
    <t>JUSTDIAL PLATFORM - TEST PLAN DOCUMENT</t>
  </si>
  <si>
    <t>Field</t>
  </si>
  <si>
    <t>Details</t>
  </si>
  <si>
    <t>QA EXECUTION SUMMARY</t>
  </si>
  <si>
    <t>Project</t>
  </si>
  <si>
    <t>Justdial Website</t>
  </si>
  <si>
    <t>TOTAL TESTS</t>
  </si>
  <si>
    <t>PASSED</t>
  </si>
  <si>
    <t>FAILED</t>
  </si>
  <si>
    <t>EXECUTION PROGRESS</t>
  </si>
  <si>
    <t>Testing Type</t>
  </si>
  <si>
    <t>Manual Testing</t>
  </si>
  <si>
    <t>Objective</t>
  </si>
  <si>
    <t>Verify that Justdial features work as expected</t>
  </si>
  <si>
    <t>BLOCKED</t>
  </si>
  <si>
    <t>NOT EXECUTED</t>
  </si>
  <si>
    <t>PASS RATE</t>
  </si>
  <si>
    <t>STATUS</t>
  </si>
  <si>
    <t>Scope</t>
  </si>
  <si>
    <t>Login, Search, Business Listing, Reviews, Enquiry, Contact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</si>
  <si>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</si>
  <si>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</si>
  <si>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</si>
  <si>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</si>
  <si>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</si>
  <si>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</si>
  <si>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</si>
  <si>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</si>
  <si>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</si>
  <si>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</si>
  <si>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</si>
  <si>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</si>
  <si>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</si>
  <si>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</si>
  <si>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</si>
  <si>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</si>
  <si>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</si>
  <si>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</si>
  <si>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</si>
  <si>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Open Justdial → Click Login → Enter mobile number/OTP</t>
  </si>
  <si>
    <t>Valid mobile number</t>
  </si>
  <si>
    <t>User should be logged in successfully</t>
  </si>
  <si>
    <t>Done as expected</t>
  </si>
  <si>
    <t>Passed</t>
  </si>
  <si>
    <t>TC002</t>
  </si>
  <si>
    <t>Login with invalid OTP</t>
  </si>
  <si>
    <t>Open Login → Enter mobile number → Enter wrong OTP</t>
  </si>
  <si>
    <t>Invalid OTP</t>
  </si>
  <si>
    <t>Error message should appear</t>
  </si>
  <si>
    <t>TC003</t>
  </si>
  <si>
    <t>Search</t>
  </si>
  <si>
    <t>Search for a business/service</t>
  </si>
  <si>
    <t>Enter category and location → Click Search</t>
  </si>
  <si>
    <t>Plumbers, Chennai</t>
  </si>
  <si>
    <t>Relevant business listings should appear</t>
  </si>
  <si>
    <t>TC004</t>
  </si>
  <si>
    <t>Search with empty input</t>
  </si>
  <si>
    <t>Open search bar → Click Search without entering data</t>
  </si>
  <si>
    <t>Empty</t>
  </si>
  <si>
    <t>Appropriate validation message should appear</t>
  </si>
  <si>
    <t>Other result observed</t>
  </si>
  <si>
    <t>TC005</t>
  </si>
  <si>
    <t>Business Listing</t>
  </si>
  <si>
    <t>Open a business listing page</t>
  </si>
  <si>
    <t>Search business → Click on a listing</t>
  </si>
  <si>
    <t>Electricians, Madurai</t>
  </si>
  <si>
    <t>Business detail page should open with contact info</t>
  </si>
  <si>
    <t>TC006</t>
  </si>
  <si>
    <t>Reviews</t>
  </si>
  <si>
    <t>Submit a review and rating for a business</t>
  </si>
  <si>
    <t>Open listing → Click Write a Review → Submit rating &amp; comment</t>
  </si>
  <si>
    <t>Valid rating and comment</t>
  </si>
  <si>
    <t>Review should be posted and visible on listing</t>
  </si>
  <si>
    <t>TC007</t>
  </si>
  <si>
    <t>Enquiry</t>
  </si>
  <si>
    <t>Send enquiry to a business</t>
  </si>
  <si>
    <t>Open listing → Click Send Enquiry → Fill form → Submit</t>
  </si>
  <si>
    <t>Valid enquiry details</t>
  </si>
  <si>
    <t>Enquiry should be sent and confirmation shown</t>
  </si>
  <si>
    <t>TC008</t>
  </si>
  <si>
    <t>Contact</t>
  </si>
  <si>
    <t>Click-to-call a listed business</t>
  </si>
  <si>
    <t>Open listing → Click Call button</t>
  </si>
  <si>
    <t>Available business</t>
  </si>
  <si>
    <t>Call/contact number should be revealed or dialed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</si>
</sst>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theme="3" tint="0.59999389629810485"/>
        <bgColor rgb="FF666699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zoomScale="76" zoomScaleNormal="100" workbookViewId="0">
      <pane ySplit="13" topLeftCell="A17" activePane="bottomLeft" state="frozen"/>
      <selection pane="bottomLeft" activeCell="D8" sqref="D8"/>
    </sheetView>
  </sheetViews>
  <sheetFormatPr defaultColWidth="8.6640625" defaultRowHeight="14.8" x14ac:dyDescent="0.3"/>
  <cols>
    <col min="1" max="1" width="13" customWidth="1"/>
    <col min="2" max="2" width="20" customWidth="1"/>
    <col min="3" max="3" width="42" customWidth="1"/>
    <col min="4" max="4" width="46" customWidth="1"/>
    <col min="5" max="5" width="18" customWidth="1"/>
    <col min="6" max="6" width="36" customWidth="1"/>
    <col min="7" max="7" width="22" customWidth="1"/>
    <col min="8" max="8" width="16" customWidth="1"/>
  </cols>
  <sheetData>
    <row r="1" spans="1:8" ht="23.95" customHeight="1" x14ac:dyDescent="0.3">
      <c r="B1" s="7" t="s">
        <v>0</v>
      </c>
      <c r="C1" s="7"/>
      <c r="D1" s="7"/>
      <c r="E1" s="7"/>
      <c r="F1" s="7"/>
      <c r="G1" s="7"/>
      <c r="H1" s="7"/>
    </row>
    <row r="2" spans="1:8" x14ac:dyDescent="0.3">
      <c r="B2" s="1" t="s">
        <v>1</v>
      </c>
      <c r="C2" s="1" t="s">
        <v>2</v>
      </c>
      <c r="E2" s="10" t="s">
        <v>3</v>
      </c>
      <c r="F2" s="10"/>
      <c r="G2" s="10"/>
      <c r="H2" s="10"/>
    </row>
    <row r="3" spans="1:8" x14ac:dyDescent="0.3">
      <c r="B3" s="2" t="s">
        <v>4</v>
      </c>
      <c r="C3" s="2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x14ac:dyDescent="0.3">
      <c r="B4" s="2" t="s">
        <v>10</v>
      </c>
      <c r="C4" s="2" t="s">
        <v>11</v>
      </c>
      <c r="E4" s="9">
        <f>COUNTA(A15:A22)</f>
        <v>7</v>
      </c>
      <c r="F4" s="9">
        <f>COUNTIF(H15:H22,"Passed")</f>
        <v>7</v>
      </c>
      <c r="G4" s="9">
        <f>COUNTIF(H15:H22,"Failed")</f>
        <v>0</v>
      </c>
      <c r="H4" s="12">
        <f>IFERROR(F4/E4,0)</f>
        <v>1</v>
      </c>
    </row>
    <row r="5" spans="1:8" x14ac:dyDescent="0.3">
      <c r="B5" s="2" t="s">
        <v>12</v>
      </c>
      <c r="C5" s="2" t="s">
        <v>13</v>
      </c>
      <c r="E5" s="11" t="s">
        <v>14</v>
      </c>
      <c r="F5" s="11" t="s">
        <v>15</v>
      </c>
      <c r="G5" s="11" t="s">
        <v>16</v>
      </c>
      <c r="H5" s="11" t="s">
        <v>17</v>
      </c>
    </row>
    <row r="6" spans="1:8" x14ac:dyDescent="0.3">
      <c r="B6" s="2" t="s">
        <v>18</v>
      </c>
      <c r="C6" s="2" t="s">
        <v>19</v>
      </c>
      <c r="E6" s="9">
        <f>COUNTIF(H15:H22,"Blocked")</f>
        <v>0</v>
      </c>
      <c r="F6" s="9">
        <f>COUNTIF(H15:H22,"Not Executed")</f>
        <v>0</v>
      </c>
      <c r="G6" s="12">
        <f>IFERROR(F4/E4,0)</f>
        <v>1</v>
      </c>
      <c r="H6" s="9" t="str">
        <f>IF(H4=1,"Completed","In Progress")</f>
        <v>Completed</v>
      </c>
    </row>
    <row r="7" spans="1:8" x14ac:dyDescent="0.3">
      <c r="B7" s="2" t="s">
        <v>20</v>
      </c>
      <c r="C7" s="2" t="s">
        <v>21</v>
      </c>
    </row>
    <row r="8" spans="1:8" x14ac:dyDescent="0.3">
      <c r="B8" s="2" t="s">
        <v>22</v>
      </c>
      <c r="C8" s="2" t="s">
        <v>23</v>
      </c>
    </row>
    <row r="9" spans="1:8" x14ac:dyDescent="0.3">
      <c r="B9" s="2" t="s">
        <v>24</v>
      </c>
      <c r="C9" s="2" t="s">
        <v>25</v>
      </c>
    </row>
    <row r="10" spans="1:8" x14ac:dyDescent="0.3">
      <c r="B10" s="2" t="s">
        <v>26</v>
      </c>
      <c r="C10" s="2" t="s">
        <v>27</v>
      </c>
    </row>
    <row r="11" spans="1:8" x14ac:dyDescent="0.3">
      <c r="B11" s="2" t="s">
        <v>28</v>
      </c>
      <c r="C11" s="2"/>
    </row>
    <row r="13" spans="1:8" ht="25.55" customHeight="1" x14ac:dyDescent="0.3">
      <c r="A13" s="6" t="s">
        <v>29</v>
      </c>
      <c r="B13" s="6" t="s">
        <v>30</v>
      </c>
      <c r="C13" s="6" t="s">
        <v>31</v>
      </c>
      <c r="D13" s="6" t="s">
        <v>32</v>
      </c>
      <c r="E13" s="6" t="s">
        <v>26</v>
      </c>
      <c r="F13" s="6" t="s">
        <v>33</v>
      </c>
      <c r="G13" s="6" t="s">
        <v>34</v>
      </c>
      <c r="H13" s="6" t="s">
        <v>35</v>
      </c>
    </row>
    <row r="14" spans="1:8" ht="31.5" customHeight="1" x14ac:dyDescent="0.3">
      <c r="A14" s="3" t="s">
        <v>36</v>
      </c>
      <c r="B14" s="2" t="s">
        <v>37</v>
      </c>
      <c r="C14" s="4" t="s">
        <v>38</v>
      </c>
      <c r="D14" s="4" t="s">
        <v>39</v>
      </c>
      <c r="E14" s="2" t="s">
        <v>40</v>
      </c>
      <c r="F14" s="4" t="s">
        <v>41</v>
      </c>
      <c r="G14" s="4" t="s">
        <v>42</v>
      </c>
      <c r="H14" s="5" t="s">
        <v>43</v>
      </c>
    </row>
    <row r="15" spans="1:8" ht="31.5" customHeight="1" x14ac:dyDescent="0.3">
      <c r="A15" s="3" t="s">
        <v>44</v>
      </c>
      <c r="B15" s="2" t="s">
        <v>37</v>
      </c>
      <c r="C15" s="4" t="s">
        <v>45</v>
      </c>
      <c r="D15" s="4" t="s">
        <v>46</v>
      </c>
      <c r="E15" s="2" t="s">
        <v>47</v>
      </c>
      <c r="F15" s="4" t="s">
        <v>48</v>
      </c>
      <c r="G15" s="4" t="s">
        <v>42</v>
      </c>
      <c r="H15" s="5" t="s">
        <v>43</v>
      </c>
    </row>
    <row r="16" spans="1:8" ht="31.5" customHeight="1" x14ac:dyDescent="0.3">
      <c r="A16" s="3" t="s">
        <v>49</v>
      </c>
      <c r="B16" s="2" t="s">
        <v>50</v>
      </c>
      <c r="C16" s="4" t="s">
        <v>51</v>
      </c>
      <c r="D16" s="4" t="s">
        <v>52</v>
      </c>
      <c r="E16" s="2" t="s">
        <v>53</v>
      </c>
      <c r="F16" s="4" t="s">
        <v>54</v>
      </c>
      <c r="G16" s="4" t="s">
        <v>42</v>
      </c>
      <c r="H16" s="5" t="s">
        <v>43</v>
      </c>
    </row>
    <row r="17" spans="1:8" ht="31.5" customHeight="1" x14ac:dyDescent="0.3">
      <c r="A17" s="3" t="s">
        <v>55</v>
      </c>
      <c r="B17" s="2" t="s">
        <v>50</v>
      </c>
      <c r="C17" s="4" t="s">
        <v>56</v>
      </c>
      <c r="D17" s="4" t="s">
        <v>57</v>
      </c>
      <c r="E17" s="2" t="s">
        <v>58</v>
      </c>
      <c r="F17" s="4" t="s">
        <v>59</v>
      </c>
      <c r="G17" s="4" t="s">
        <v>60</v>
      </c>
      <c r="H17" s="8" t="s">
        <v>43</v>
      </c>
    </row>
    <row r="18" spans="1:8" ht="31.5" customHeight="1" x14ac:dyDescent="0.3">
      <c r="A18" s="3" t="s">
        <v>61</v>
      </c>
      <c r="B18" s="2" t="s">
        <v>62</v>
      </c>
      <c r="C18" s="4" t="s">
        <v>63</v>
      </c>
      <c r="D18" s="4" t="s">
        <v>64</v>
      </c>
      <c r="E18" s="2" t="s">
        <v>65</v>
      </c>
      <c r="F18" s="4" t="s">
        <v>66</v>
      </c>
      <c r="G18" s="4" t="s">
        <v>42</v>
      </c>
      <c r="H18" s="8" t="s">
        <v>43</v>
      </c>
    </row>
    <row r="19" spans="1:8" ht="31.5" customHeight="1" x14ac:dyDescent="0.3">
      <c r="A19" s="3" t="s">
        <v>67</v>
      </c>
      <c r="B19" s="2" t="s">
        <v>68</v>
      </c>
      <c r="C19" s="4" t="s">
        <v>69</v>
      </c>
      <c r="D19" s="4" t="s">
        <v>70</v>
      </c>
      <c r="E19" s="2" t="s">
        <v>71</v>
      </c>
      <c r="F19" s="4" t="s">
        <v>72</v>
      </c>
      <c r="G19" s="4" t="s">
        <v>42</v>
      </c>
      <c r="H19" s="8" t="s">
        <v>43</v>
      </c>
    </row>
    <row r="20" spans="1:8" ht="31.5" customHeight="1" x14ac:dyDescent="0.3">
      <c r="A20" s="3" t="s">
        <v>73</v>
      </c>
      <c r="B20" s="2" t="s">
        <v>74</v>
      </c>
      <c r="C20" s="4" t="s">
        <v>75</v>
      </c>
      <c r="D20" s="4" t="s">
        <v>76</v>
      </c>
      <c r="E20" s="2" t="s">
        <v>77</v>
      </c>
      <c r="F20" s="4" t="s">
        <v>78</v>
      </c>
      <c r="G20" s="4" t="s">
        <v>42</v>
      </c>
      <c r="H20" s="8" t="s">
        <v>43</v>
      </c>
    </row>
    <row r="21" spans="1:8" ht="31.5" customHeight="1" x14ac:dyDescent="0.3">
      <c r="A21" s="3" t="s">
        <v>79</v>
      </c>
      <c r="B21" s="2" t="s">
        <v>80</v>
      </c>
      <c r="C21" s="4" t="s">
        <v>81</v>
      </c>
      <c r="D21" s="4" t="s">
        <v>82</v>
      </c>
      <c r="E21" s="2" t="s">
        <v>83</v>
      </c>
      <c r="F21" s="4" t="s">
        <v>84</v>
      </c>
      <c r="G21" s="4" t="s">
        <v>42</v>
      </c>
      <c r="H21" s="8" t="s">
        <v>43</v>
      </c>
    </row>
  </sheetData>
  <mergeCells count="2">
    <mergeCell ref="B1:H1"/>
    <mergeCell ref="E2:H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viswanadham venkata sai sruthi</cp:lastModifiedBy>
  <cp:revision>0</cp:revision>
  <dcterms:created xsi:type="dcterms:W3CDTF">2026-09-17T05:52:44Z</dcterms:created>
  <dcterms:modified xsi:type="dcterms:W3CDTF">2026-09-17T06:21:48Z</dcterms:modified>
  <dc:language>en-US</dc:language>
</cp:coreProperties>
</file>